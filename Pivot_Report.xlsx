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ca83cff865ef871f/Videos/DA Internship/Task 2/"/>
    </mc:Choice>
  </mc:AlternateContent>
  <xr:revisionPtr revIDLastSave="350" documentId="8_{31F1466A-E2E4-4948-9AA6-868F2B95FD2D}" xr6:coauthVersionLast="47" xr6:coauthVersionMax="47" xr10:uidLastSave="{60F3A6E1-F55A-49E3-99E5-35B57CD290AB}"/>
  <bookViews>
    <workbookView xWindow="-108" yWindow="-108" windowWidth="23256" windowHeight="12456" activeTab="5" xr2:uid="{00000000-000D-0000-FFFF-FFFF00000000}"/>
  </bookViews>
  <sheets>
    <sheet name="Pivot Data" sheetId="11" r:id="rId1"/>
    <sheet name="Report 1" sheetId="6" r:id="rId2"/>
    <sheet name="Report 2" sheetId="8" r:id="rId3"/>
    <sheet name="Report 3" sheetId="9" r:id="rId4"/>
    <sheet name="Report 4" sheetId="3" r:id="rId5"/>
    <sheet name="Report 5" sheetId="10" r:id="rId6"/>
  </sheets>
  <definedNames>
    <definedName name="_xlnm._FilterDatabase" localSheetId="4" hidden="1">'Report 4'!$A$1:$X$20</definedName>
    <definedName name="Dashboard1">#REF!</definedName>
    <definedName name="Dashboard2">#REF!</definedName>
    <definedName name="Slicer_Category">#N/A</definedName>
    <definedName name="Slicer_Country_Region">#N/A</definedName>
    <definedName name="Slicer_Region">#N/A</definedName>
    <definedName name="Slicer_Segment">#N/A</definedName>
  </definedNames>
  <calcPr calcId="191029"/>
  <pivotCaches>
    <pivotCache cacheId="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11" l="1"/>
  <c r="E19" i="11"/>
  <c r="E18" i="11"/>
  <c r="E17" i="11"/>
  <c r="E16" i="11"/>
  <c r="E15" i="11"/>
  <c r="E14" i="11"/>
  <c r="E13" i="11"/>
  <c r="E12" i="11"/>
  <c r="E11" i="11"/>
  <c r="E10" i="11"/>
  <c r="E9" i="11"/>
  <c r="E8" i="11"/>
  <c r="E7" i="11"/>
  <c r="E6" i="11"/>
  <c r="E5" i="11"/>
  <c r="E4" i="11"/>
  <c r="E3" i="11"/>
  <c r="E2" i="11"/>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<sst xmlns="http://schemas.openxmlformats.org/spreadsheetml/2006/main" count="597" uniqueCount="130">
  <si>
    <t>Category</t>
  </si>
  <si>
    <t>City</t>
  </si>
  <si>
    <t>Country/Region</t>
  </si>
  <si>
    <t>Order Date</t>
  </si>
  <si>
    <t>Order ID</t>
  </si>
  <si>
    <t>Postal Code</t>
  </si>
  <si>
    <t>Product ID</t>
  </si>
  <si>
    <t>Product Name</t>
  </si>
  <si>
    <t>Region</t>
  </si>
  <si>
    <t>Segment</t>
  </si>
  <si>
    <t>Ship Date</t>
  </si>
  <si>
    <t>Ship Mode</t>
  </si>
  <si>
    <t>Ship Status</t>
  </si>
  <si>
    <t>State</t>
  </si>
  <si>
    <t>Sub-Category</t>
  </si>
  <si>
    <t>Days to Ship Actual</t>
  </si>
  <si>
    <t>Days to Ship Scheduled</t>
  </si>
  <si>
    <t>Discount</t>
  </si>
  <si>
    <t>Profit</t>
  </si>
  <si>
    <t>Quantity</t>
  </si>
  <si>
    <t>Sales</t>
  </si>
  <si>
    <t>Sales Forecast</t>
  </si>
  <si>
    <t>Furniture</t>
  </si>
  <si>
    <t>Henderson</t>
  </si>
  <si>
    <t>United States</t>
  </si>
  <si>
    <t>CA-2019-152156</t>
  </si>
  <si>
    <t>FUR-BO-10001798</t>
  </si>
  <si>
    <t>Bush Somerset Collection Bookcase</t>
  </si>
  <si>
    <t>South</t>
  </si>
  <si>
    <t>Consumer</t>
  </si>
  <si>
    <t>Second Class</t>
  </si>
  <si>
    <t>Shipped On Time</t>
  </si>
  <si>
    <t>Kentucky</t>
  </si>
  <si>
    <t>Bookcases</t>
  </si>
  <si>
    <t>FUR-CH-10000454</t>
  </si>
  <si>
    <t>Hon Deluxe Fabric Upholstered Stacking Chairs, Rounded Back</t>
  </si>
  <si>
    <t>Chairs</t>
  </si>
  <si>
    <t>Office Supplies</t>
  </si>
  <si>
    <t>Los Angeles</t>
  </si>
  <si>
    <t>CA-2019-138688</t>
  </si>
  <si>
    <t>OFF-LA-10000240</t>
  </si>
  <si>
    <t>Self-Adhesive Address Labels for Typewriters by Universal</t>
  </si>
  <si>
    <t>West</t>
  </si>
  <si>
    <t>Corporate</t>
  </si>
  <si>
    <t>Shipped Late</t>
  </si>
  <si>
    <t>California</t>
  </si>
  <si>
    <t>Labels</t>
  </si>
  <si>
    <t>Fort Lauderdale</t>
  </si>
  <si>
    <t>US-2018-108966</t>
  </si>
  <si>
    <t>FUR-TA-10000577</t>
  </si>
  <si>
    <t>Bretford CR4500 Series Slim Rectangular Table</t>
  </si>
  <si>
    <t>Standard Class</t>
  </si>
  <si>
    <t>Florida</t>
  </si>
  <si>
    <t>Tables</t>
  </si>
  <si>
    <t>OFF-ST-10000760</t>
  </si>
  <si>
    <t>Eldon Fold 'N Roll Cart System</t>
  </si>
  <si>
    <t>Storage</t>
  </si>
  <si>
    <t>CA-2017-115812</t>
  </si>
  <si>
    <t>FUR-FU-10001487</t>
  </si>
  <si>
    <t>Eldon Expressions Wood and Plastic Desk Accessories, Cherry Wood</t>
  </si>
  <si>
    <t>Shipped Early</t>
  </si>
  <si>
    <t>Furnishings</t>
  </si>
  <si>
    <t>OFF-AR-10002833</t>
  </si>
  <si>
    <t>Newell 322</t>
  </si>
  <si>
    <t>Art</t>
  </si>
  <si>
    <t>Technology</t>
  </si>
  <si>
    <t>TEC-PH-10002275</t>
  </si>
  <si>
    <t>Mitel 5320 IP Phone VoIP phone</t>
  </si>
  <si>
    <t>Phones</t>
  </si>
  <si>
    <t>OFF-BI-10003910</t>
  </si>
  <si>
    <t>DXL Angle-View Binders with Locking Rings by Samsill</t>
  </si>
  <si>
    <t>Binders</t>
  </si>
  <si>
    <t>OFF-AP-10002892</t>
  </si>
  <si>
    <t>Belkin F5C206VTEL 6 Outlet Surge</t>
  </si>
  <si>
    <t>Appliances</t>
  </si>
  <si>
    <t>FUR-TA-10001539</t>
  </si>
  <si>
    <t>Chromcraft Rectangular Conference Tables</t>
  </si>
  <si>
    <t>TEC-PH-10002033</t>
  </si>
  <si>
    <t>Konftel 250 Conference phone - Charcoal black</t>
  </si>
  <si>
    <t>Concord</t>
  </si>
  <si>
    <t>CA-2020-114412</t>
  </si>
  <si>
    <t>OFF-PA-10002365</t>
  </si>
  <si>
    <t>Xerox 1967</t>
  </si>
  <si>
    <t>North Carolina</t>
  </si>
  <si>
    <t>Paper</t>
  </si>
  <si>
    <t>Seattle</t>
  </si>
  <si>
    <t>CA-2019-161389</t>
  </si>
  <si>
    <t>OFF-BI-10003656</t>
  </si>
  <si>
    <t>Fellowes PB200 Plastic Comb Binding Machine</t>
  </si>
  <si>
    <t>Washington</t>
  </si>
  <si>
    <t>Fort Worth</t>
  </si>
  <si>
    <t>US-2018-118983</t>
  </si>
  <si>
    <t>OFF-AP-10002311</t>
  </si>
  <si>
    <t>Holmes Replacement Filter for HEPA Air Cleaner, Very Large Room, HEPA Filter</t>
  </si>
  <si>
    <t>Central</t>
  </si>
  <si>
    <t>Home Office</t>
  </si>
  <si>
    <t>Texas</t>
  </si>
  <si>
    <t>OFF-BI-10000756</t>
  </si>
  <si>
    <t>Storex DuraTech Recycled Plastic Frosted Binders</t>
  </si>
  <si>
    <t>Madison</t>
  </si>
  <si>
    <t>CA-2017-105893</t>
  </si>
  <si>
    <t>OFF-ST-10004186</t>
  </si>
  <si>
    <t>Stur-D-Stor Shelving, Vertical 5-Shelf: 72"H x 36"W x 18 1/2"D</t>
  </si>
  <si>
    <t>Wisconsin</t>
  </si>
  <si>
    <t>West Jordan</t>
  </si>
  <si>
    <t>CA-2017-167164</t>
  </si>
  <si>
    <t>OFF-ST-10000107</t>
  </si>
  <si>
    <t>Fellowes Super Stor/Drawer</t>
  </si>
  <si>
    <t>Utah</t>
  </si>
  <si>
    <t>San Francisco</t>
  </si>
  <si>
    <t>CA-2017-143336</t>
  </si>
  <si>
    <t>OFF-AR-10003056</t>
  </si>
  <si>
    <t>Newell 341</t>
  </si>
  <si>
    <t>Year</t>
  </si>
  <si>
    <t>Month</t>
  </si>
  <si>
    <t>Row Labels</t>
  </si>
  <si>
    <t>Grand Total</t>
  </si>
  <si>
    <t>Sum of Sales</t>
  </si>
  <si>
    <t>Column Labels</t>
  </si>
  <si>
    <t>Total Sum of Sales</t>
  </si>
  <si>
    <t>Sum of Profit</t>
  </si>
  <si>
    <t>Total Sum of Profit</t>
  </si>
  <si>
    <t xml:space="preserve"> </t>
  </si>
  <si>
    <t>Nov</t>
  </si>
  <si>
    <t>Jun</t>
  </si>
  <si>
    <t>Oct</t>
  </si>
  <si>
    <t>Apr</t>
  </si>
  <si>
    <t>Dec</t>
  </si>
  <si>
    <t>May</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</si>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</sst>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0">
    <xf numFmtId="0" fontId="0" fillId="0" borderId="0" xfId="0"/>
    <xf numFmtId="0" fontId="0" fillId="3" borderId="2" xfId="0" applyFill="1" applyBorder="1"/>
    <xf numFmtId="0" fontId="0" fillId="3" borderId="3" xfId="0" applyFill="1" applyBorder="1"/>
    <xf numFmtId="0" fontId="0" fillId="4" borderId="2" xfId="0" applyFill="1" applyBorder="1"/>
    <xf numFmtId="0" fontId="0" fillId="4" borderId="3" xfId="0" applyFill="1" applyBorder="1"/>
    <xf numFmtId="0" fontId="0" fillId="3" borderId="4" xfId="0" applyFill="1" applyBorder="1"/>
    <xf numFmtId="0" fontId="0" fillId="4" borderId="4" xfId="0" applyFill="1" applyBorder="1"/>
    <xf numFmtId="14" fontId="0" fillId="3" borderId="3" xfId="0" applyNumberFormat="1" applyFill="1" applyBorder="1"/>
    <xf numFmtId="14" fontId="0" fillId="4" borderId="3" xfId="0" applyNumberFormat="1" applyFill="1" applyBorder="1"/>
    <xf numFmtId="0" fontId="1" fillId="2" borderId="1" xfId="0" applyFont="1" applyFill="1" applyBorder="1" applyAlignment="1">
      <alignment horizontal="center" vertical="top"/>
    </xf>
    <xf numFmtId="2" fontId="1" fillId="2" borderId="1" xfId="0" applyNumberFormat="1" applyFont="1" applyFill="1" applyBorder="1" applyAlignment="1">
      <alignment horizontal="center" vertical="top"/>
    </xf>
    <xf numFmtId="0" fontId="0" fillId="3" borderId="5" xfId="0" applyFill="1" applyBorder="1"/>
    <xf numFmtId="0" fontId="0" fillId="3" borderId="6" xfId="0" applyFill="1" applyBorder="1"/>
    <xf numFmtId="14" fontId="0" fillId="3" borderId="6" xfId="0" applyNumberFormat="1" applyFill="1" applyBorder="1"/>
    <xf numFmtId="0" fontId="0" fillId="3" borderId="7"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4" fontId="0" fillId="0" borderId="0" xfId="0" applyNumberFormat="1"/>
  </cellXfs>
  <cellStyles count="1">
    <cellStyle name="Normal" xfId="0" builtinId="0"/>
  </cellStyles>
  <dxfs count="62">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trike val="0"/>
        <sz val="14"/>
        <color theme="0"/>
      </font>
      <fill>
        <patternFill>
          <bgColor theme="1"/>
        </patternFill>
      </fill>
      <border diagonalUp="0" diagonalDown="0">
        <left/>
        <right/>
        <top/>
        <bottom/>
        <vertical/>
        <horizontal/>
      </border>
    </dxf>
    <dxf>
      <font>
        <strike val="0"/>
      </font>
      <fill>
        <patternFill>
          <bgColor theme="1"/>
        </patternFill>
      </fill>
    </dxf>
  </dxfs>
  <tableStyles count="1" defaultTableStyle="TableStyleMedium9" defaultPivotStyle="PivotStyleLight16">
    <tableStyle name="Slicer Style 1" pivot="0" table="0" count="6" xr9:uid="{F0BA3B08-CBAA-4F21-872C-1C9F3DB7464E}">
      <tableStyleElement type="wholeTable" dxfId="61"/>
      <tableStyleElement type="headerRow" dxfId="60"/>
    </tableStyle>
  </tableStyles>
  <colors>
    <mruColors>
      <color rgb="FF1F5B01"/>
      <color rgb="FF3BAF01"/>
      <color rgb="FF0F8312"/>
    </mruColors>
  </colors>
  <extLst>
    <ext xmlns:x14="http://schemas.microsoft.com/office/spreadsheetml/2009/9/main" uri="{46F421CA-312F-682f-3DD2-61675219B42D}">
      <x14:dxfs count="4">
        <dxf>
          <font>
            <b/>
            <i val="0"/>
            <strike val="0"/>
            <sz val="12"/>
            <color rgb="FFFF0000"/>
          </font>
          <fill>
            <patternFill patternType="none">
              <bgColor auto="1"/>
            </patternFill>
          </fill>
          <border diagonalUp="0" diagonalDown="0">
            <left/>
            <right/>
            <top/>
            <bottom/>
            <vertical/>
            <horizontal/>
          </border>
        </dxf>
        <dxf>
          <font>
            <b/>
            <i val="0"/>
            <strike val="0"/>
            <sz val="12"/>
            <color theme="1"/>
          </font>
          <fill>
            <patternFill>
              <bgColor theme="0"/>
            </patternFill>
          </fill>
        </dxf>
        <dxf>
          <font>
            <b/>
            <i val="0"/>
            <strike val="0"/>
            <sz val="12"/>
            <color theme="1"/>
          </font>
          <fill>
            <patternFill>
              <bgColor theme="0"/>
            </patternFill>
          </fill>
          <border diagonalUp="0" diagonalDown="0">
            <left/>
            <right/>
            <top/>
            <bottom/>
            <vertical/>
            <horizontal/>
          </border>
        </dxf>
        <dxf>
          <font>
            <b/>
            <i val="0"/>
            <strike val="0"/>
            <sz val="12"/>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[Pivot_Report.xlsx]Report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32538405817558E-2"/>
          <c:y val="0.27959453077214907"/>
          <c:w val="0.74314269184093928"/>
          <c:h val="0.39832261011621334"/>
        </c:manualLayout>
      </c:layout>
      <c:barChart>
        <c:barDir val="col"/>
        <c:grouping val="clustered"/>
        <c:varyColors val="0"/>
        <c:ser>
          <c:idx val="0"/>
          <c:order val="0"/>
          <c:tx>
            <c:strRef>
              <c:f>'Report 5'!$B$1</c:f>
              <c:strCache>
                <c:ptCount val="1"/>
                <c:pt idx="0">
                  <c:v>Total</c:v>
                </c:pt>
              </c:strCache>
            </c:strRef>
          </c:tx>
          <c:spPr>
            <a:solidFill>
              <a:schemeClr val="accent1"/>
            </a:solidFill>
            <a:ln>
              <a:noFill/>
            </a:ln>
            <a:effectLst/>
          </c:spPr>
          <c:invertIfNegative val="0"/>
          <c:cat>
            <c:strRef>
              <c:f>'Report 5'!$A$2:$A$5</c:f>
              <c:strCache>
                <c:ptCount val="3"/>
                <c:pt idx="0">
                  <c:v>Furniture</c:v>
                </c:pt>
                <c:pt idx="1">
                  <c:v>Office Supplies</c:v>
                </c:pt>
                <c:pt idx="2">
                  <c:v>Technology</c:v>
                </c:pt>
              </c:strCache>
            </c:strRef>
          </c:cat>
          <c:val>
            <c:numRef>
              <c:f>'Report 5'!$B$2:$B$5</c:f>
              <c:numCache>
                <c:formatCode>General</c:formatCode>
                <c:ptCount val="3"/>
                <c:pt idx="0">
                  <c:v>3707</c:v>
                </c:pt>
                <c:pt idx="1">
                  <c:v>1405</c:v>
                </c:pt>
                <c:pt idx="2">
                  <c:v>1818</c:v>
                </c:pt>
              </c:numCache>
            </c:numRef>
          </c:val>
          <c:extLst>
            <c:ext xmlns:c16="http://schemas.microsoft.com/office/drawing/2014/chart" uri="{C3380CC4-5D6E-409C-BE32-E72D297353CC}">
              <c16:uniqueId val="{00000000-CF9D-4E80-9777-372E444E785E}"/>
            </c:ext>
          </c:extLst>
        </c:ser>
        <c:dLbls>
          <c:showLegendKey val="0"/>
          <c:showVal val="0"/>
          <c:showCatName val="0"/>
          <c:showSerName val="0"/>
          <c:showPercent val="0"/>
          <c:showBubbleSize val="0"/>
        </c:dLbls>
        <c:gapWidth val="219"/>
        <c:overlap val="-27"/>
        <c:axId val="538037471"/>
        <c:axId val="538037951"/>
      </c:barChart>
      <c:catAx>
        <c:axId val="5380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37951"/>
        <c:crosses val="autoZero"/>
        <c:auto val="1"/>
        <c:lblAlgn val="ctr"/>
        <c:lblOffset val="100"/>
        <c:noMultiLvlLbl val="0"/>
      </c:catAx>
      <c:valAx>
        <c:axId val="53803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15240</xdr:colOff>
      <xdr:row>25</xdr:row>
      <xdr:rowOff>22860</xdr:rowOff>
    </xdr:from>
    <xdr:to>
      <xdr:col>2</xdr:col>
      <xdr:colOff>891540</xdr:colOff>
      <xdr:row>38</xdr:row>
      <xdr:rowOff>112395</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86809C2B-A023-1CC7-A71A-ED921ADB29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4400" y="1668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72935</xdr:colOff>
      <xdr:row>30</xdr:row>
      <xdr:rowOff>149135</xdr:rowOff>
    </xdr:from>
    <xdr:to>
      <xdr:col>6</xdr:col>
      <xdr:colOff>40278</xdr:colOff>
      <xdr:row>44</xdr:row>
      <xdr:rowOff>55790</xdr:rowOff>
    </xdr:to>
    <mc:AlternateContent xmlns:mc="http://schemas.openxmlformats.org/markup-compatibility/2006" xmlns:sle15="http://schemas.microsoft.com/office/drawing/2012/slicer">
      <mc:Choice Requires="sle15">
        <xdr:graphicFrame macro="">
          <xdr:nvGraphicFramePr>
            <xdr:cNvPr id="3" name="Country/Region">
              <a:extLst>
                <a:ext uri="{FF2B5EF4-FFF2-40B4-BE49-F238E27FC236}">
                  <a16:creationId xmlns:a16="http://schemas.microsoft.com/office/drawing/2014/main" id="{C76A70A5-1ED6-CF99-8D27-2B6902D7D6B4}"/>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3044735" y="2709455"/>
              <a:ext cx="1834243"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320040</xdr:colOff>
      <xdr:row>24</xdr:row>
      <xdr:rowOff>175260</xdr:rowOff>
    </xdr:from>
    <xdr:to>
      <xdr:col>8</xdr:col>
      <xdr:colOff>266700</xdr:colOff>
      <xdr:row>38</xdr:row>
      <xdr:rowOff>81915</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8254C0B4-1832-219C-C255-66149F61FB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58740"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723900</xdr:colOff>
      <xdr:row>29</xdr:row>
      <xdr:rowOff>15240</xdr:rowOff>
    </xdr:from>
    <xdr:to>
      <xdr:col>9</xdr:col>
      <xdr:colOff>1440180</xdr:colOff>
      <xdr:row>42</xdr:row>
      <xdr:rowOff>104775</xdr:rowOff>
    </xdr:to>
    <mc:AlternateContent xmlns:mc="http://schemas.openxmlformats.org/markup-compatibility/2006" xmlns:sle15="http://schemas.microsoft.com/office/drawing/2012/slicer">
      <mc:Choice Requires="sle15">
        <xdr:graphicFrame macro="">
          <xdr:nvGraphicFramePr>
            <xdr:cNvPr id="5" name="Segment">
              <a:extLst>
                <a:ext uri="{FF2B5EF4-FFF2-40B4-BE49-F238E27FC236}">
                  <a16:creationId xmlns:a16="http://schemas.microsoft.com/office/drawing/2014/main" id="{67E99A87-D969-9445-D300-E43B67EEA6E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44740" y="239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685800</xdr:colOff>
      <xdr:row>6</xdr:row>
      <xdr:rowOff>160020</xdr:rowOff>
    </xdr:from>
    <xdr:to>
      <xdr:col>8</xdr:col>
      <xdr:colOff>480060</xdr:colOff>
      <xdr:row>23</xdr:row>
      <xdr:rowOff>7620</xdr:rowOff>
    </xdr:to>
    <xdr:graphicFrame macro="">
      <xdr:nvGraphicFramePr>
        <xdr:cNvPr id="2" name="Chart 1">
          <a:extLst>
            <a:ext uri="{FF2B5EF4-FFF2-40B4-BE49-F238E27FC236}">
              <a16:creationId xmlns:a16="http://schemas.microsoft.com/office/drawing/2014/main" id="{55C554B5-4FB9-92C1-A5C0-671CE5525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ia" refreshedDate="46038.864117129633" createdVersion="8" refreshedVersion="8" minRefreshableVersion="3" recordCount="19" xr:uid="{3C572E42-64A9-4515-963C-3AB7C5828AD4}">
  <cacheSource type="worksheet">
    <worksheetSource name="Sales"/>
  </cacheSource>
  <cacheFields count="24">
    <cacheField name="Category" numFmtId="0">
      <sharedItems count="3">
        <s v="Furniture"/>
        <s v="Office Supplies"/>
        <s v="Technology"/>
      </sharedItems>
    </cacheField>
    <cacheField name="City" numFmtId="0">
      <sharedItems/>
    </cacheField>
    <cacheField name="Country/Region" numFmtId="0">
      <sharedItems count="1">
        <s v="United States"/>
      </sharedItems>
    </cacheField>
    <cacheField name="Order Date" numFmtId="14">
      <sharedItems containsSemiMixedTypes="0" containsNonDate="0" containsDate="1" containsString="0" minDate="2017-05-13T00:00:00" maxDate="2020-04-16T00:00:00"/>
    </cacheField>
    <cacheField name="Year" numFmtId="14">
      <sharedItems/>
    </cacheField>
    <cacheField name="Month" numFmtId="14">
      <sharedItems/>
    </cacheField>
    <cacheField name="Order ID" numFmtId="0">
      <sharedItems/>
    </cacheField>
    <cacheField name="Postal Code" numFmtId="0">
      <sharedItems containsSemiMixedTypes="0" containsString="0" containsNumber="1" containsInteger="1" minValue="28027" maxValue="98103"/>
    </cacheField>
    <cacheField name="Product ID" numFmtId="0">
      <sharedItems/>
    </cacheField>
    <cacheField name="Product Name" numFmtId="0">
      <sharedItems/>
    </cacheField>
    <cacheField name="Region" numFmtId="0">
      <sharedItems count="3">
        <s v="South"/>
        <s v="West"/>
        <s v="Central"/>
      </sharedItems>
    </cacheField>
    <cacheField name="Segment" numFmtId="0">
      <sharedItems count="3">
        <s v="Consumer"/>
        <s v="Corporate"/>
        <s v="Home Office"/>
      </sharedItems>
    </cacheField>
    <cacheField name="Ship Date" numFmtId="14">
      <sharedItems containsSemiMixedTypes="0" containsNonDate="0" containsDate="1" containsString="0" minDate="2017-05-15T00:00:00" maxDate="2020-04-21T00:00:00"/>
    </cacheField>
    <cacheField name="Ship Mode" numFmtId="0">
      <sharedItems/>
    </cacheField>
    <cacheField name="Ship Status" numFmtId="0">
      <sharedItems/>
    </cacheField>
    <cacheField name="State" numFmtId="0">
      <sharedItems/>
    </cacheField>
    <cacheField name="Sub-Category" numFmtId="0">
      <sharedItems count="11">
        <s v="Bookcases"/>
        <s v="Chairs"/>
        <s v="Labels"/>
        <s v="Tables"/>
        <s v="Storage"/>
        <s v="Furnishings"/>
        <s v="Art"/>
        <s v="Phones"/>
        <s v="Binders"/>
        <s v="Appliances"/>
        <s v="Paper"/>
      </sharedItems>
    </cacheField>
    <cacheField name="Days to Ship Actual" numFmtId="0">
      <sharedItems containsSemiMixedTypes="0" containsString="0" containsNumber="1" containsInteger="1" minValue="2" maxValue="7"/>
    </cacheField>
    <cacheField name="Days to Ship Scheduled" numFmtId="0">
      <sharedItems containsSemiMixedTypes="0" containsString="0" containsNumber="1" containsInteger="1" minValue="3" maxValue="6"/>
    </cacheField>
    <cacheField name="Discount" numFmtId="0">
      <sharedItems containsSemiMixedTypes="0" containsString="0" containsNumber="1" containsInteger="1" minValue="0" maxValue="80"/>
    </cacheField>
    <cacheField name="Profit" numFmtId="0">
      <sharedItems containsSemiMixedTypes="0" containsString="0" containsNumber="1" containsInteger="1" minValue="2" maxValue="383" count="18">
        <n v="42"/>
        <n v="220"/>
        <n v="7"/>
        <n v="383"/>
        <n v="3"/>
        <n v="14"/>
        <n v="2"/>
        <n v="91"/>
        <n v="6"/>
        <n v="34"/>
        <n v="85"/>
        <n v="68"/>
        <n v="5"/>
        <n v="133"/>
        <n v="124"/>
        <n v="4"/>
        <n v="13"/>
        <n v="10"/>
      </sharedItems>
    </cacheField>
    <cacheField name="Quantity" numFmtId="0">
      <sharedItems containsSemiMixedTypes="0" containsString="0" containsNumber="1" containsInteger="1" minValue="2" maxValue="9"/>
    </cacheField>
    <cacheField name="Sales" numFmtId="0">
      <sharedItems containsSemiMixedTypes="0" containsString="0" containsNumber="1" containsInteger="1" minValue="3" maxValue="1706" count="19">
        <n v="262"/>
        <n v="732"/>
        <n v="15"/>
        <n v="958"/>
        <n v="22"/>
        <n v="49"/>
        <n v="7"/>
        <n v="907"/>
        <n v="19"/>
        <n v="115"/>
        <n v="1706"/>
        <n v="911"/>
        <n v="16"/>
        <n v="408"/>
        <n v="69"/>
        <n v="3"/>
        <n v="666"/>
        <n v="56"/>
        <n v="9"/>
      </sharedItems>
    </cacheField>
    <cacheField name="Sales Forecast" numFmtId="0">
      <sharedItems containsSemiMixedTypes="0" containsString="0" containsNumber="1" containsInteger="1" minValue="4" maxValue="2555"/>
    </cacheField>
  </cacheFields>
  <extLst>
    <ext xmlns:x14="http://schemas.microsoft.com/office/spreadsheetml/2009/9/main" uri="{725AE2AE-9491-48be-B2B4-4EB974FC3084}">
      <x14:pivotCacheDefinition pivotCacheId="1608018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Henderson"/>
    <x v="0"/>
    <d v="2019-11-08T00:00:00"/>
    <s v="2019"/>
    <s v="Nov"/>
    <s v="CA-2019-152156"/>
    <n v="42420"/>
    <s v="FUR-BO-10001798"/>
    <s v="Bush Somerset Collection Bookcase"/>
    <x v="0"/>
    <x v="0"/>
    <d v="2019-11-11T00:00:00"/>
    <s v="Second Class"/>
    <s v="Shipped On Time"/>
    <s v="Kentucky"/>
    <x v="0"/>
    <n v="3"/>
    <n v="3"/>
    <n v="0"/>
    <x v="0"/>
    <n v="2"/>
    <x v="0"/>
    <n v="392"/>
  </r>
  <r>
    <x v="0"/>
    <s v="Henderson"/>
    <x v="0"/>
    <d v="2019-11-08T00:00:00"/>
    <s v="2019"/>
    <s v="Nov"/>
    <s v="CA-2019-152156"/>
    <n v="42420"/>
    <s v="FUR-CH-10000454"/>
    <s v="Hon Deluxe Fabric Upholstered Stacking Chairs, Rounded Back"/>
    <x v="0"/>
    <x v="0"/>
    <d v="2019-11-11T00:00:00"/>
    <s v="Second Class"/>
    <s v="Shipped On Time"/>
    <s v="Kentucky"/>
    <x v="1"/>
    <n v="3"/>
    <n v="3"/>
    <n v="0"/>
    <x v="1"/>
    <n v="3"/>
    <x v="1"/>
    <n v="1096"/>
  </r>
  <r>
    <x v="1"/>
    <s v="Los Angeles"/>
    <x v="0"/>
    <d v="2019-06-12T00:00:00"/>
    <s v="2019"/>
    <s v="Jun"/>
    <s v="CA-2019-138688"/>
    <n v="90036"/>
    <s v="OFF-LA-10000240"/>
    <s v="Self-Adhesive Address Labels for Typewriters by Universal"/>
    <x v="1"/>
    <x v="1"/>
    <d v="2019-06-16T00:00:00"/>
    <s v="Second Class"/>
    <s v="Shipped Late"/>
    <s v="California"/>
    <x v="2"/>
    <n v="4"/>
    <n v="3"/>
    <n v="0"/>
    <x v="2"/>
    <n v="2"/>
    <x v="2"/>
    <n v="22"/>
  </r>
  <r>
    <x v="0"/>
    <s v="Fort Lauderdale"/>
    <x v="0"/>
    <d v="2018-10-11T00:00:00"/>
    <s v="2018"/>
    <s v="Oct"/>
    <s v="US-2018-108966"/>
    <n v="33311"/>
    <s v="FUR-TA-10000577"/>
    <s v="Bretford CR4500 Series Slim Rectangular Table"/>
    <x v="0"/>
    <x v="0"/>
    <d v="2018-10-18T00:00:00"/>
    <s v="Standard Class"/>
    <s v="Shipped Late"/>
    <s v="Florida"/>
    <x v="3"/>
    <n v="7"/>
    <n v="6"/>
    <n v="45"/>
    <x v="3"/>
    <n v="5"/>
    <x v="3"/>
    <n v="1434"/>
  </r>
  <r>
    <x v="1"/>
    <s v="Fort Lauderdale"/>
    <x v="0"/>
    <d v="2018-10-11T00:00:00"/>
    <s v="2018"/>
    <s v="Oct"/>
    <s v="US-2018-108966"/>
    <n v="33311"/>
    <s v="OFF-ST-10000760"/>
    <s v="Eldon Fold 'N Roll Cart System"/>
    <x v="0"/>
    <x v="0"/>
    <d v="2018-10-18T00:00:00"/>
    <s v="Standard Class"/>
    <s v="Shipped Late"/>
    <s v="Florida"/>
    <x v="4"/>
    <n v="7"/>
    <n v="6"/>
    <n v="20"/>
    <x v="4"/>
    <n v="2"/>
    <x v="4"/>
    <n v="33"/>
  </r>
  <r>
    <x v="0"/>
    <s v="Los Angeles"/>
    <x v="0"/>
    <d v="2017-06-09T00:00:00"/>
    <s v="2017"/>
    <s v="Jun"/>
    <s v="CA-2017-115812"/>
    <n v="90032"/>
    <s v="FUR-FU-10001487"/>
    <s v="Eldon Expressions Wood and Plastic Desk Accessories, Cherry Wood"/>
    <x v="1"/>
    <x v="0"/>
    <d v="2017-06-14T00:00:00"/>
    <s v="Standard Class"/>
    <s v="Shipped Early"/>
    <s v="California"/>
    <x v="5"/>
    <n v="5"/>
    <n v="6"/>
    <n v="0"/>
    <x v="5"/>
    <n v="7"/>
    <x v="5"/>
    <n v="73"/>
  </r>
  <r>
    <x v="1"/>
    <s v="Los Angeles"/>
    <x v="0"/>
    <d v="2017-06-09T00:00:00"/>
    <s v="2017"/>
    <s v="Jun"/>
    <s v="CA-2017-115812"/>
    <n v="90032"/>
    <s v="OFF-AR-10002833"/>
    <s v="Newell 322"/>
    <x v="1"/>
    <x v="0"/>
    <d v="2017-06-14T00:00:00"/>
    <s v="Standard Class"/>
    <s v="Shipped Early"/>
    <s v="California"/>
    <x v="6"/>
    <n v="5"/>
    <n v="6"/>
    <n v="0"/>
    <x v="6"/>
    <n v="4"/>
    <x v="6"/>
    <n v="11"/>
  </r>
  <r>
    <x v="2"/>
    <s v="Los Angeles"/>
    <x v="0"/>
    <d v="2017-06-09T00:00:00"/>
    <s v="2017"/>
    <s v="Jun"/>
    <s v="CA-2017-115812"/>
    <n v="90032"/>
    <s v="TEC-PH-10002275"/>
    <s v="Mitel 5320 IP Phone VoIP phone"/>
    <x v="1"/>
    <x v="0"/>
    <d v="2017-06-14T00:00:00"/>
    <s v="Standard Class"/>
    <s v="Shipped Early"/>
    <s v="California"/>
    <x v="7"/>
    <n v="5"/>
    <n v="6"/>
    <n v="20"/>
    <x v="7"/>
    <n v="6"/>
    <x v="7"/>
    <n v="1359"/>
  </r>
  <r>
    <x v="1"/>
    <s v="Los Angeles"/>
    <x v="0"/>
    <d v="2017-06-09T00:00:00"/>
    <s v="2017"/>
    <s v="Jun"/>
    <s v="CA-2017-115812"/>
    <n v="90032"/>
    <s v="OFF-BI-10003910"/>
    <s v="DXL Angle-View Binders with Locking Rings by Samsill"/>
    <x v="1"/>
    <x v="0"/>
    <d v="2017-06-14T00:00:00"/>
    <s v="Standard Class"/>
    <s v="Shipped Early"/>
    <s v="California"/>
    <x v="8"/>
    <n v="5"/>
    <n v="6"/>
    <n v="20"/>
    <x v="8"/>
    <n v="3"/>
    <x v="8"/>
    <n v="28"/>
  </r>
  <r>
    <x v="1"/>
    <s v="Los Angeles"/>
    <x v="0"/>
    <d v="2017-06-09T00:00:00"/>
    <s v="2017"/>
    <s v="Jun"/>
    <s v="CA-2017-115812"/>
    <n v="90032"/>
    <s v="OFF-AP-10002892"/>
    <s v="Belkin F5C206VTEL 6 Outlet Surge"/>
    <x v="1"/>
    <x v="0"/>
    <d v="2017-06-14T00:00:00"/>
    <s v="Standard Class"/>
    <s v="Shipped Early"/>
    <s v="California"/>
    <x v="9"/>
    <n v="5"/>
    <n v="6"/>
    <n v="0"/>
    <x v="9"/>
    <n v="5"/>
    <x v="9"/>
    <n v="172"/>
  </r>
  <r>
    <x v="0"/>
    <s v="Los Angeles"/>
    <x v="0"/>
    <d v="2017-06-09T00:00:00"/>
    <s v="2017"/>
    <s v="Jun"/>
    <s v="CA-2017-115812"/>
    <n v="90032"/>
    <s v="FUR-TA-10001539"/>
    <s v="Chromcraft Rectangular Conference Tables"/>
    <x v="1"/>
    <x v="0"/>
    <d v="2017-06-14T00:00:00"/>
    <s v="Standard Class"/>
    <s v="Shipped Early"/>
    <s v="California"/>
    <x v="3"/>
    <n v="5"/>
    <n v="6"/>
    <n v="20"/>
    <x v="10"/>
    <n v="9"/>
    <x v="10"/>
    <n v="2555"/>
  </r>
  <r>
    <x v="2"/>
    <s v="Los Angeles"/>
    <x v="0"/>
    <d v="2017-06-09T00:00:00"/>
    <s v="2017"/>
    <s v="Jun"/>
    <s v="CA-2017-115812"/>
    <n v="90032"/>
    <s v="TEC-PH-10002033"/>
    <s v="Konftel 250 Conference phone - Charcoal black"/>
    <x v="1"/>
    <x v="0"/>
    <d v="2017-06-14T00:00:00"/>
    <s v="Standard Class"/>
    <s v="Shipped Early"/>
    <s v="California"/>
    <x v="7"/>
    <n v="5"/>
    <n v="6"/>
    <n v="20"/>
    <x v="11"/>
    <n v="4"/>
    <x v="11"/>
    <n v="1365"/>
  </r>
  <r>
    <x v="1"/>
    <s v="Concord"/>
    <x v="0"/>
    <d v="2020-04-15T00:00:00"/>
    <s v="2020"/>
    <s v="Apr"/>
    <s v="CA-2020-114412"/>
    <n v="28027"/>
    <s v="OFF-PA-10002365"/>
    <s v="Xerox 1967"/>
    <x v="0"/>
    <x v="0"/>
    <d v="2020-04-20T00:00:00"/>
    <s v="Standard Class"/>
    <s v="Shipped Early"/>
    <s v="North Carolina"/>
    <x v="10"/>
    <n v="5"/>
    <n v="6"/>
    <n v="20"/>
    <x v="12"/>
    <n v="3"/>
    <x v="12"/>
    <n v="23"/>
  </r>
  <r>
    <x v="1"/>
    <s v="Seattle"/>
    <x v="0"/>
    <d v="2019-12-05T00:00:00"/>
    <s v="2019"/>
    <s v="Dec"/>
    <s v="CA-2019-161389"/>
    <n v="98103"/>
    <s v="OFF-BI-10003656"/>
    <s v="Fellowes PB200 Plastic Comb Binding Machine"/>
    <x v="1"/>
    <x v="0"/>
    <d v="2019-12-10T00:00:00"/>
    <s v="Standard Class"/>
    <s v="Shipped Early"/>
    <s v="Washington"/>
    <x v="8"/>
    <n v="5"/>
    <n v="6"/>
    <n v="20"/>
    <x v="13"/>
    <n v="3"/>
    <x v="13"/>
    <n v="611"/>
  </r>
  <r>
    <x v="1"/>
    <s v="Fort Worth"/>
    <x v="0"/>
    <d v="2018-11-22T00:00:00"/>
    <s v="2018"/>
    <s v="Nov"/>
    <s v="US-2018-118983"/>
    <n v="76106"/>
    <s v="OFF-AP-10002311"/>
    <s v="Holmes Replacement Filter for HEPA Air Cleaner, Very Large Room, HEPA Filter"/>
    <x v="2"/>
    <x v="2"/>
    <d v="2018-11-26T00:00:00"/>
    <s v="Standard Class"/>
    <s v="Shipped Early"/>
    <s v="Texas"/>
    <x v="9"/>
    <n v="4"/>
    <n v="6"/>
    <n v="80"/>
    <x v="14"/>
    <n v="5"/>
    <x v="14"/>
    <n v="103"/>
  </r>
  <r>
    <x v="1"/>
    <s v="Fort Worth"/>
    <x v="0"/>
    <d v="2018-11-22T00:00:00"/>
    <s v="2018"/>
    <s v="Nov"/>
    <s v="US-2018-118983"/>
    <n v="76106"/>
    <s v="OFF-BI-10000756"/>
    <s v="Storex DuraTech Recycled Plastic Frosted Binders"/>
    <x v="2"/>
    <x v="2"/>
    <d v="2018-11-26T00:00:00"/>
    <s v="Standard Class"/>
    <s v="Shipped Early"/>
    <s v="Texas"/>
    <x v="8"/>
    <n v="4"/>
    <n v="6"/>
    <n v="80"/>
    <x v="15"/>
    <n v="3"/>
    <x v="15"/>
    <n v="4"/>
  </r>
  <r>
    <x v="1"/>
    <s v="Madison"/>
    <x v="0"/>
    <d v="2017-11-11T00:00:00"/>
    <s v="2017"/>
    <s v="Nov"/>
    <s v="CA-2017-105893"/>
    <n v="53711"/>
    <s v="OFF-ST-10004186"/>
    <s v="Stur-D-Stor Shelving, Vertical 5-Shelf: 72&quot;H x 36&quot;W x 18 1/2&quot;D"/>
    <x v="2"/>
    <x v="0"/>
    <d v="2017-11-18T00:00:00"/>
    <s v="Standard Class"/>
    <s v="Shipped Late"/>
    <s v="Wisconsin"/>
    <x v="4"/>
    <n v="7"/>
    <n v="6"/>
    <n v="0"/>
    <x v="16"/>
    <n v="6"/>
    <x v="16"/>
    <n v="997"/>
  </r>
  <r>
    <x v="1"/>
    <s v="West Jordan"/>
    <x v="0"/>
    <d v="2017-05-13T00:00:00"/>
    <s v="2017"/>
    <s v="May"/>
    <s v="CA-2017-167164"/>
    <n v="84084"/>
    <s v="OFF-ST-10000107"/>
    <s v="Fellowes Super Stor/Drawer"/>
    <x v="1"/>
    <x v="0"/>
    <d v="2017-05-15T00:00:00"/>
    <s v="Second Class"/>
    <s v="Shipped Early"/>
    <s v="Utah"/>
    <x v="4"/>
    <n v="2"/>
    <n v="3"/>
    <n v="0"/>
    <x v="17"/>
    <n v="2"/>
    <x v="17"/>
    <n v="83"/>
  </r>
  <r>
    <x v="1"/>
    <s v="San Francisco"/>
    <x v="0"/>
    <d v="2017-08-27T00:00:00"/>
    <s v="2017"/>
    <s v="Aug"/>
    <s v="CA-2017-143336"/>
    <n v="94109"/>
    <s v="OFF-AR-10003056"/>
    <s v="Newell 341"/>
    <x v="1"/>
    <x v="0"/>
    <d v="2017-09-01T00:00:00"/>
    <s v="Second Class"/>
    <s v="Shipped Late"/>
    <s v="California"/>
    <x v="6"/>
    <n v="5"/>
    <n v="3"/>
    <n v="0"/>
    <x v="6"/>
    <n v="2"/>
    <x v="18"/>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C6FFD-93B7-42C9-9792-EC176075A7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3" firstHeaderRow="1" firstDataRow="2" firstDataCol="1"/>
  <pivotFields count="24">
    <pivotField axis="axisRow" showAll="0">
      <items count="4">
        <item x="0"/>
        <item x="1"/>
        <item x="2"/>
        <item t="default"/>
      </items>
    </pivotField>
    <pivotField showAll="0"/>
    <pivotField showAll="0"/>
    <pivotField numFmtId="14"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showAll="0"/>
    <pivotField showAll="0"/>
    <pivotField showAll="0"/>
    <pivotField axis="axisCol" showAll="0">
      <items count="12">
        <item x="9"/>
        <item x="6"/>
        <item x="8"/>
        <item x="0"/>
        <item x="1"/>
        <item x="5"/>
        <item x="2"/>
        <item x="10"/>
        <item x="7"/>
        <item x="4"/>
        <item x="3"/>
        <item t="default"/>
      </items>
    </pivotField>
    <pivotField showAll="0"/>
    <pivotField showAll="0"/>
    <pivotField showAll="0"/>
    <pivotField showAll="0"/>
    <pivotField showAll="0"/>
    <pivotField dataField="1" showAll="0"/>
    <pivotField showAll="0"/>
  </pivotFields>
  <rowFields count="2">
    <field x="0"/>
    <field x="11"/>
  </rowFields>
  <rowItems count="9">
    <i>
      <x/>
    </i>
    <i r="1">
      <x/>
    </i>
    <i>
      <x v="1"/>
    </i>
    <i r="1">
      <x/>
    </i>
    <i r="1">
      <x v="1"/>
    </i>
    <i r="1">
      <x v="2"/>
    </i>
    <i>
      <x v="2"/>
    </i>
    <i r="1">
      <x/>
    </i>
    <i t="grand">
      <x/>
    </i>
  </rowItems>
  <colFields count="1">
    <field x="16"/>
  </colFields>
  <colItems count="12">
    <i>
      <x/>
    </i>
    <i>
      <x v="1"/>
    </i>
    <i>
      <x v="2"/>
    </i>
    <i>
      <x v="3"/>
    </i>
    <i>
      <x v="4"/>
    </i>
    <i>
      <x v="5"/>
    </i>
    <i>
      <x v="6"/>
    </i>
    <i>
      <x v="7"/>
    </i>
    <i>
      <x v="8"/>
    </i>
    <i>
      <x v="9"/>
    </i>
    <i>
      <x v="10"/>
    </i>
    <i t="grand">
      <x/>
    </i>
  </colItems>
  <dataFields count="1">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6B542-F1B8-4F31-8DBB-42B7CB8E04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4">
    <pivotField showAll="0"/>
    <pivotField showAll="0"/>
    <pivotField axis="axisRow" showAll="0">
      <items count="2">
        <item x="0"/>
        <item t="default"/>
      </items>
    </pivotField>
    <pivotField numFmtId="14" showAll="0"/>
    <pivotField showAll="0"/>
    <pivotField showAll="0"/>
    <pivotField showAll="0"/>
    <pivotField showAll="0"/>
    <pivotField showAll="0"/>
    <pivotField showAll="0"/>
    <pivotField axis="axisCol" showAll="0">
      <items count="4">
        <item x="2"/>
        <item x="0"/>
        <item x="1"/>
        <item t="default"/>
      </items>
    </pivotField>
    <pivotField axis="axisRow" showAll="0">
      <items count="4">
        <item x="0"/>
        <item x="1"/>
        <item x="2"/>
        <item t="default"/>
      </items>
    </pivotField>
    <pivotField numFmtId="14" showAll="0"/>
    <pivotField showAll="0"/>
    <pivotField showAll="0"/>
    <pivotField showAll="0"/>
    <pivotField showAll="0"/>
    <pivotField showAll="0"/>
    <pivotField showAll="0"/>
    <pivotField showAll="0"/>
    <pivotField showAll="0"/>
    <pivotField showAll="0"/>
    <pivotField dataField="1" showAll="0"/>
    <pivotField showAll="0"/>
  </pivotFields>
  <rowFields count="2">
    <field x="2"/>
    <field x="11"/>
  </rowFields>
  <rowItems count="5">
    <i>
      <x/>
    </i>
    <i r="1">
      <x/>
    </i>
    <i r="1">
      <x v="1"/>
    </i>
    <i r="1">
      <x v="2"/>
    </i>
    <i t="grand">
      <x/>
    </i>
  </rowItems>
  <colFields count="1">
    <field x="10"/>
  </colFields>
  <colItems count="4">
    <i>
      <x/>
    </i>
    <i>
      <x v="1"/>
    </i>
    <i>
      <x v="2"/>
    </i>
    <i t="grand">
      <x/>
    </i>
  </colItems>
  <dataFields count="1">
    <dataField name="Sum of Sales" fld="22" baseField="0" baseItem="0"/>
  </dataFields>
  <conditionalFormats count="2">
    <conditionalFormat priority="1">
      <pivotAreas count="1">
        <pivotArea type="data" grandRow="1" outline="0" collapsedLevelsAreSubtotals="1" fieldPosition="0">
          <references count="2">
            <reference field="4294967294" count="1" selected="0">
              <x v="0"/>
            </reference>
            <reference field="10" count="1" selected="0">
              <x v="2"/>
            </reference>
          </references>
        </pivotArea>
      </pivotAreas>
    </conditionalFormat>
    <conditionalFormat priority="3">
      <pivotAreas count="1">
        <pivotArea type="data" collapsedLevelsAreSubtotals="1" fieldPosition="0">
          <references count="3">
            <reference field="4294967294" count="1" selected="0">
              <x v="0"/>
            </reference>
            <reference field="2" count="1">
              <x v="0"/>
            </reference>
            <reference field="10"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D62A5-0739-420B-B21D-E0DFD02CC8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9" firstHeaderRow="1" firstDataRow="3" firstDataCol="1"/>
  <pivotFields count="24">
    <pivotField axis="axisRow" showAll="0">
      <items count="4">
        <item x="0"/>
        <item x="1"/>
        <item x="2"/>
        <item t="default"/>
      </items>
    </pivotField>
    <pivotField showAll="0"/>
    <pivotField axis="axisCol" showAll="0">
      <items count="2">
        <item x="0"/>
        <item t="default"/>
      </items>
    </pivotField>
    <pivotField numFmtId="14" showAll="0"/>
    <pivotField showAll="0"/>
    <pivotField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dataField="1" showAll="0">
      <items count="19">
        <item x="6"/>
        <item x="4"/>
        <item x="15"/>
        <item x="12"/>
        <item x="8"/>
        <item x="2"/>
        <item x="17"/>
        <item x="16"/>
        <item x="5"/>
        <item x="9"/>
        <item x="0"/>
        <item x="11"/>
        <item x="10"/>
        <item x="7"/>
        <item x="14"/>
        <item x="13"/>
        <item x="1"/>
        <item x="3"/>
        <item t="default"/>
      </items>
    </pivotField>
    <pivotField showAll="0"/>
    <pivotField dataField="1" showAll="0">
      <items count="20">
        <item x="15"/>
        <item x="6"/>
        <item x="18"/>
        <item x="2"/>
        <item x="12"/>
        <item x="8"/>
        <item x="4"/>
        <item x="5"/>
        <item x="17"/>
        <item x="14"/>
        <item x="9"/>
        <item x="0"/>
        <item x="13"/>
        <item x="16"/>
        <item x="1"/>
        <item x="7"/>
        <item x="11"/>
        <item x="3"/>
        <item x="10"/>
        <item t="default"/>
      </items>
    </pivotField>
    <pivotField showAll="0"/>
  </pivotFields>
  <rowFields count="1">
    <field x="0"/>
  </rowFields>
  <rowItems count="4">
    <i>
      <x/>
    </i>
    <i>
      <x v="1"/>
    </i>
    <i>
      <x v="2"/>
    </i>
    <i t="grand">
      <x/>
    </i>
  </rowItems>
  <colFields count="2">
    <field x="-2"/>
    <field x="2"/>
  </colFields>
  <colItems count="4">
    <i>
      <x/>
      <x/>
    </i>
    <i i="1">
      <x v="1"/>
      <x/>
    </i>
    <i t="grand">
      <x/>
    </i>
    <i t="grand" i="1">
      <x/>
    </i>
  </colItems>
  <dataFields count="2">
    <dataField name="Sum of Sales" fld="22" baseField="0" baseItem="0"/>
    <dataField name="Sum of Profit" fld="20" baseField="0" baseItem="0"/>
  </dataFields>
  <chartFormats count="2">
    <chartFormat chart="0" format="56" series="1">
      <pivotArea type="data" outline="0" fieldPosition="0">
        <references count="1">
          <reference field="4294967294" count="1" selected="0">
            <x v="0"/>
          </reference>
        </references>
      </pivotArea>
    </chartFormat>
    <chartFormat chart="0" format="5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7EA3E-17FF-41AD-94C0-14AB35ABCF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4">
    <pivotField axis="axisRow" showAll="0">
      <items count="4">
        <item sd="0" x="0"/>
        <item sd="0" x="1"/>
        <item sd="0" x="2"/>
        <item t="default" sd="0"/>
      </items>
    </pivotField>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12">
        <item x="9"/>
        <item x="6"/>
        <item x="8"/>
        <item x="0"/>
        <item x="1"/>
        <item x="5"/>
        <item x="2"/>
        <item x="10"/>
        <item x="7"/>
        <item x="4"/>
        <item x="3"/>
        <item t="default"/>
      </items>
    </pivotField>
    <pivotField showAll="0"/>
    <pivotField showAll="0"/>
    <pivotField showAll="0"/>
    <pivotField showAll="0"/>
    <pivotField showAll="0"/>
    <pivotField dataField="1" showAll="0"/>
    <pivotField showAll="0"/>
  </pivotFields>
  <rowFields count="2">
    <field x="0"/>
    <field x="16"/>
  </rowFields>
  <rowItems count="4">
    <i>
      <x/>
    </i>
    <i>
      <x v="1"/>
    </i>
    <i>
      <x v="2"/>
    </i>
    <i t="grand">
      <x/>
    </i>
  </rowItems>
  <colItems count="1">
    <i/>
  </colItems>
  <dataFields count="1">
    <dataField name="Sum of Sales" fld="2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930463-2CB7-4A38-833E-81FD433D434E}" sourceName="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226F5B36-4AB9-4BF6-B06D-C939D69B7B14}" sourceName="Country/Region">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1F546A-1BB5-404A-A64D-DBC30EC913A3}" sourceName="Region">
  <extLst>
    <x:ext xmlns:x15="http://schemas.microsoft.com/office/spreadsheetml/2010/11/main" uri="{2F2917AC-EB37-4324-AD4E-5DD8C200BD13}">
      <x15:tableSlicerCache tableId="2"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B2A215-ECCF-469D-AB8B-6BD8EC0C8121}" sourceName="Segment">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B98817A-B81E-4932-885C-3C916A2BB04D}" cache="Slicer_Category" caption="Category" rowHeight="234950"/>
  <slicer name="Country/Region" xr10:uid="{46E10C9C-AD9E-410C-A35F-34FD0255F3D6}" cache="Slicer_Country_Region" caption="Country/Region" rowHeight="234950"/>
  <slicer name="Region" xr10:uid="{AC2AB7E3-75F1-4055-AF37-05467AB58299}" cache="Slicer_Region" caption="Region" rowHeight="234950"/>
  <slicer name="Segment" xr10:uid="{49EE26A5-7006-4022-8B33-2CF1FFC96091}"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0FF7B8-B424-4AAF-A03F-C1326F286140}" name="Sales4" displayName="Sales4" ref="A1:X20" totalsRowShown="0" headerRowDxfId="59" dataDxfId="57" headerRowBorderDxfId="58" tableBorderDxfId="56" totalsRowBorderDxfId="55">
  <autoFilter ref="A1:X20" xr:uid="{E90FF7B8-B424-4AAF-A03F-C1326F286140}"/>
  <tableColumns count="24">
    <tableColumn id="1" xr3:uid="{98B4600B-B900-45BC-98C1-20C1A828134B}" name="Category" dataDxfId="54"/>
    <tableColumn id="2" xr3:uid="{0FB5CA81-FC5A-482B-AC95-64435ED59B28}" name="City" dataDxfId="53"/>
    <tableColumn id="3" xr3:uid="{C0147037-3571-4B34-A5BC-3D484AEB47D0}" name="Country/Region" dataDxfId="52"/>
    <tableColumn id="4" xr3:uid="{9ADB1E57-8761-4B11-AF65-27F461A224E9}" name="Order Date" dataDxfId="51"/>
    <tableColumn id="5" xr3:uid="{5C7AD1BD-334C-4863-8820-A77B0D584865}" name="Year" dataDxfId="50">
      <calculatedColumnFormula>TEXT(D2,"YYYY")</calculatedColumnFormula>
    </tableColumn>
    <tableColumn id="6" xr3:uid="{9B24FD9A-32EF-40D7-B407-4448372441A0}" name="Month" dataDxfId="49"/>
    <tableColumn id="7" xr3:uid="{615B71A9-31F3-465A-AAD7-52FCA2E3F19B}" name="Order ID" dataDxfId="48"/>
    <tableColumn id="8" xr3:uid="{1ECE013F-00DF-4F49-B7BA-E721F9B27DDE}" name="Postal Code" dataDxfId="47"/>
    <tableColumn id="9" xr3:uid="{D30CD1CC-DE45-45B5-BC75-5F1E7FEB4FC5}" name="Product ID" dataDxfId="46"/>
    <tableColumn id="10" xr3:uid="{43C80601-D011-43E1-87EF-1BB2817C918D}" name="Product Name" dataDxfId="45"/>
    <tableColumn id="11" xr3:uid="{A4DF2F6F-648E-43DB-B324-4839DC743602}" name="Region" dataDxfId="44"/>
    <tableColumn id="12" xr3:uid="{D278419F-4FB6-4083-A202-232E21860DE6}" name="Segment" dataDxfId="43"/>
    <tableColumn id="13" xr3:uid="{E6D188B2-2DC0-4E78-B9E8-A651C9EB77DF}" name="Ship Date" dataDxfId="42"/>
    <tableColumn id="14" xr3:uid="{42E9F29A-794A-4D79-877A-B3A6BD48ED8D}" name="Ship Mode" dataDxfId="41"/>
    <tableColumn id="15" xr3:uid="{95A2327D-5C4B-4FC2-93F5-12C6E60F849E}" name="Ship Status" dataDxfId="40"/>
    <tableColumn id="16" xr3:uid="{62E74341-CFBC-456C-B9F5-C855CF6479E5}" name="State" dataDxfId="39"/>
    <tableColumn id="17" xr3:uid="{86CDE4F4-3FB5-406F-9827-3CF71972E1B7}" name="Sub-Category" dataDxfId="38"/>
    <tableColumn id="18" xr3:uid="{89B15966-F684-4CFF-95E0-E87678158DD9}" name="Days to Ship Actual" dataDxfId="37"/>
    <tableColumn id="19" xr3:uid="{8F129779-D449-412B-A8AC-704DC9CE992C}" name="Days to Ship Scheduled" dataDxfId="36"/>
    <tableColumn id="20" xr3:uid="{BA839CA6-F2D9-472C-BFB8-46B752AC0C45}" name="Discount" dataDxfId="35"/>
    <tableColumn id="21" xr3:uid="{4C74ABDD-719F-4664-A24D-EB89B674A817}" name="Profit" dataDxfId="34"/>
    <tableColumn id="22" xr3:uid="{F0FCF881-7F3F-4CF1-9E6C-8417BA598795}" name="Quantity" dataDxfId="33"/>
    <tableColumn id="23" xr3:uid="{34FAA251-ED3B-4F5F-85A1-389945DB0520}" name="Sales" dataDxfId="32"/>
    <tableColumn id="24" xr3:uid="{8188872E-E479-46E2-9BFD-B0BC4018A9FE}" name="Sales Forecast" dataDxfId="3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5DD5C-6ACB-41C6-87FA-5004E66DA2E1}" name="Sales" displayName="Sales" ref="A1:X20" totalsRowShown="0" headerRowDxfId="28" dataDxfId="26" headerRowBorderDxfId="27" tableBorderDxfId="25" totalsRowBorderDxfId="24">
  <autoFilter ref="A1:X20" xr:uid="{5472BA84-3AC6-44BC-B8D5-DCA374AFBC85}">
    <filterColumn colId="0">
      <filters>
        <filter val="Furniture"/>
      </filters>
    </filterColumn>
    <filterColumn colId="10">
      <filters>
        <filter val="South"/>
      </filters>
    </filterColumn>
    <filterColumn colId="11">
      <filters>
        <filter val="Consumer"/>
      </filters>
    </filterColumn>
  </autoFilter>
  <tableColumns count="24">
    <tableColumn id="1" xr3:uid="{30F07272-CA7B-4392-BA1E-80DE352C11FA}" name="Category" dataDxfId="23"/>
    <tableColumn id="2" xr3:uid="{59D0E798-2AE7-42BE-A28F-15F24F28D345}" name="City" dataDxfId="22"/>
    <tableColumn id="3" xr3:uid="{71267111-F877-46CF-B32C-C2DEC402D568}" name="Country/Region" dataDxfId="21"/>
    <tableColumn id="4" xr3:uid="{5D87CE1B-9038-4F38-A1C1-C4B5081F8B48}" name="Order Date" dataDxfId="20"/>
    <tableColumn id="5" xr3:uid="{AD062F25-BE9C-469E-B561-F0CF2CD2886D}" name="Year" dataDxfId="19">
      <calculatedColumnFormula>TEXT(D2,"YYYY")</calculatedColumnFormula>
    </tableColumn>
    <tableColumn id="6" xr3:uid="{AED286A5-E3B1-426F-99B3-1E89B1E3B049}" name="Month" dataDxfId="18"/>
    <tableColumn id="7" xr3:uid="{488B6AEA-2E2C-4A82-87F3-4EE4E1EB055A}" name="Order ID" dataDxfId="17"/>
    <tableColumn id="8" xr3:uid="{80F43E1E-D643-4DD6-AE38-19382DD563DE}" name="Postal Code" dataDxfId="16"/>
    <tableColumn id="9" xr3:uid="{5FF919FD-184F-48E9-B549-2929702A00A9}" name="Product ID" dataDxfId="15"/>
    <tableColumn id="10" xr3:uid="{C71BACAF-E408-49E1-8495-185164254278}" name="Product Name" dataDxfId="14"/>
    <tableColumn id="11" xr3:uid="{8B13CE22-8F07-4560-ACF8-AADB3D78E0E5}" name="Region" dataDxfId="13"/>
    <tableColumn id="12" xr3:uid="{D29D8BD1-029A-4A6A-A477-8B0937801896}" name="Segment" dataDxfId="12"/>
    <tableColumn id="13" xr3:uid="{E3F8155D-1706-4BF4-AEA7-FBEDF4EF779D}" name="Ship Date" dataDxfId="11"/>
    <tableColumn id="14" xr3:uid="{D11FC1E3-0BAC-4C39-9C90-1FABD58E2212}" name="Ship Mode" dataDxfId="10"/>
    <tableColumn id="15" xr3:uid="{3AB8B5B2-CC75-47D3-BDBF-379C4A722482}" name="Ship Status" dataDxfId="9"/>
    <tableColumn id="16" xr3:uid="{62F0264A-AD33-4288-86AB-FC35D88E7B5E}" name="State" dataDxfId="8"/>
    <tableColumn id="17" xr3:uid="{E8F2B24F-7A5A-4D51-8BA2-1D3A94C6EBAB}" name="Sub-Category" dataDxfId="7"/>
    <tableColumn id="18" xr3:uid="{355A56BB-62DC-4579-A9D4-69733FF82F28}" name="Days to Ship Actual" dataDxfId="6"/>
    <tableColumn id="19" xr3:uid="{1CDC4D8A-26EC-4AC6-A2ED-8CE7E148C8F9}" name="Days to Ship Scheduled" dataDxfId="5"/>
    <tableColumn id="20" xr3:uid="{CDDCA69C-8093-412B-BE22-DEC9E0EF659C}" name="Discount" dataDxfId="4"/>
    <tableColumn id="21" xr3:uid="{6DC0090B-0249-436D-84EA-C67C056C9FBC}" name="Profit" dataDxfId="3"/>
    <tableColumn id="22" xr3:uid="{ED7A6988-1D8B-415D-992E-40916D28B8E5}" name="Quantity" dataDxfId="2"/>
    <tableColumn id="23" xr3:uid="{0CB19461-4A74-4219-96DD-B5B36AE77F22}" name="Sales" dataDxfId="1"/>
    <tableColumn id="24" xr3:uid="{225EFAE8-77D9-40FB-948C-730018768AAB}" name="Sales Forecas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B47D-81D4-45F1-86A0-1E57DFFC1EF4}">
  <sheetPr>
    <tabColor theme="1" tint="4.9989318521683403E-2"/>
  </sheetPr>
  <dimension ref="A1:X20"/>
  <sheetViews>
    <sheetView workbookViewId="0">
      <selection activeCell="C30" sqref="C30"/>
    </sheetView>
  </sheetViews>
  <sheetFormatPr defaultRowHeight="14.4" x14ac:dyDescent="0.3"/>
  <cols>
    <col min="1" max="1" width="13.109375" bestFit="1" customWidth="1"/>
    <col min="2" max="2" width="13.88671875" bestFit="1" customWidth="1"/>
    <col min="3" max="3" width="19" bestFit="1" customWidth="1"/>
    <col min="4" max="4" width="14.5546875" bestFit="1" customWidth="1"/>
    <col min="5" max="5" width="9.109375" bestFit="1" customWidth="1"/>
    <col min="6" max="6" width="11.21875" bestFit="1" customWidth="1"/>
    <col min="7" max="7" width="14.6640625" bestFit="1" customWidth="1"/>
    <col min="8" max="8" width="15.33203125" bestFit="1" customWidth="1"/>
    <col min="9" max="9" width="16.21875" bestFit="1" customWidth="1"/>
    <col min="10" max="10" width="65.77734375" bestFit="1" customWidth="1"/>
    <col min="11" max="11" width="11.21875" bestFit="1" customWidth="1"/>
    <col min="12" max="12" width="12.88671875" bestFit="1" customWidth="1"/>
    <col min="13" max="13" width="13.44140625" bestFit="1" customWidth="1"/>
    <col min="14" max="14" width="14.5546875" bestFit="1" customWidth="1"/>
    <col min="15" max="15" width="14.77734375" bestFit="1" customWidth="1"/>
    <col min="16" max="16" width="13.109375" bestFit="1" customWidth="1"/>
    <col min="17" max="17" width="16.88671875" bestFit="1" customWidth="1"/>
    <col min="18" max="18" width="21.77734375" bestFit="1" customWidth="1"/>
    <col min="19" max="19" width="25.21875" bestFit="1" customWidth="1"/>
    <col min="20" max="20" width="12.77734375" bestFit="1" customWidth="1"/>
    <col min="21" max="21" width="10.109375" bestFit="1" customWidth="1"/>
    <col min="22" max="22" width="12.77734375" bestFit="1" customWidth="1"/>
    <col min="23" max="23" width="9.6640625" bestFit="1" customWidth="1"/>
    <col min="24" max="24" width="17.109375" bestFit="1" customWidth="1"/>
  </cols>
  <sheetData>
    <row r="1" spans="1:24" x14ac:dyDescent="0.3">
      <c r="A1" s="9" t="s">
        <v>0</v>
      </c>
      <c r="B1" s="9" t="s">
        <v>1</v>
      </c>
      <c r="C1" s="9" t="s">
        <v>2</v>
      </c>
      <c r="D1" s="9" t="s">
        <v>3</v>
      </c>
      <c r="E1" s="9" t="s">
        <v>113</v>
      </c>
      <c r="F1" s="9" t="s">
        <v>114</v>
      </c>
      <c r="G1" s="9" t="s">
        <v>4</v>
      </c>
      <c r="H1" s="9" t="s">
        <v>5</v>
      </c>
      <c r="I1" s="9" t="s">
        <v>6</v>
      </c>
      <c r="J1" s="9" t="s">
        <v>7</v>
      </c>
      <c r="K1" s="9" t="s">
        <v>8</v>
      </c>
      <c r="L1" s="9" t="s">
        <v>9</v>
      </c>
      <c r="M1" s="9" t="s">
        <v>10</v>
      </c>
      <c r="N1" s="9" t="s">
        <v>11</v>
      </c>
      <c r="O1" s="9" t="s">
        <v>12</v>
      </c>
      <c r="P1" s="9" t="s">
        <v>13</v>
      </c>
      <c r="Q1" s="9" t="s">
        <v>14</v>
      </c>
      <c r="R1" s="9" t="s">
        <v>15</v>
      </c>
      <c r="S1" s="9" t="s">
        <v>16</v>
      </c>
      <c r="T1" s="10" t="s">
        <v>17</v>
      </c>
      <c r="U1" s="9" t="s">
        <v>18</v>
      </c>
      <c r="V1" s="9" t="s">
        <v>19</v>
      </c>
      <c r="W1" s="9" t="s">
        <v>20</v>
      </c>
      <c r="X1" s="9" t="s">
        <v>21</v>
      </c>
    </row>
    <row r="2" spans="1:24" x14ac:dyDescent="0.3">
      <c r="A2" s="1" t="s">
        <v>22</v>
      </c>
      <c r="B2" s="2" t="s">
        <v>23</v>
      </c>
      <c r="C2" s="2" t="s">
        <v>24</v>
      </c>
      <c r="D2" s="7">
        <v>43777</v>
      </c>
      <c r="E2" s="7" t="str">
        <f t="shared" ref="E2:E20" si="0">TEXT(D2,"YYYY")</f>
        <v>2019</v>
      </c>
      <c r="F2" s="18" t="s">
        <v>123</v>
      </c>
      <c r="G2" s="2" t="s">
        <v>25</v>
      </c>
      <c r="H2" s="2">
        <v>42420</v>
      </c>
      <c r="I2" s="2" t="s">
        <v>26</v>
      </c>
      <c r="J2" s="2" t="s">
        <v>27</v>
      </c>
      <c r="K2" s="2" t="s">
        <v>28</v>
      </c>
      <c r="L2" s="2" t="s">
        <v>29</v>
      </c>
      <c r="M2" s="7">
        <v>43780</v>
      </c>
      <c r="N2" s="2" t="s">
        <v>30</v>
      </c>
      <c r="O2" s="2" t="s">
        <v>31</v>
      </c>
      <c r="P2" s="2" t="s">
        <v>32</v>
      </c>
      <c r="Q2" s="2" t="s">
        <v>33</v>
      </c>
      <c r="R2" s="2">
        <v>3</v>
      </c>
      <c r="S2" s="2">
        <v>3</v>
      </c>
      <c r="T2" s="2">
        <v>0</v>
      </c>
      <c r="U2" s="2">
        <v>42</v>
      </c>
      <c r="V2" s="2">
        <v>2</v>
      </c>
      <c r="W2" s="2">
        <v>262</v>
      </c>
      <c r="X2" s="5">
        <v>392</v>
      </c>
    </row>
    <row r="3" spans="1:24" x14ac:dyDescent="0.3">
      <c r="A3" s="3" t="s">
        <v>22</v>
      </c>
      <c r="B3" s="4" t="s">
        <v>23</v>
      </c>
      <c r="C3" s="4" t="s">
        <v>24</v>
      </c>
      <c r="D3" s="8">
        <v>43777</v>
      </c>
      <c r="E3" s="8" t="str">
        <f t="shared" si="0"/>
        <v>2019</v>
      </c>
      <c r="F3" s="18" t="s">
        <v>123</v>
      </c>
      <c r="G3" s="4" t="s">
        <v>25</v>
      </c>
      <c r="H3" s="4">
        <v>42420</v>
      </c>
      <c r="I3" s="4" t="s">
        <v>34</v>
      </c>
      <c r="J3" s="4" t="s">
        <v>35</v>
      </c>
      <c r="K3" s="4" t="s">
        <v>28</v>
      </c>
      <c r="L3" s="4" t="s">
        <v>29</v>
      </c>
      <c r="M3" s="8">
        <v>43780</v>
      </c>
      <c r="N3" s="4" t="s">
        <v>30</v>
      </c>
      <c r="O3" s="4" t="s">
        <v>31</v>
      </c>
      <c r="P3" s="4" t="s">
        <v>32</v>
      </c>
      <c r="Q3" s="4" t="s">
        <v>36</v>
      </c>
      <c r="R3" s="4">
        <v>3</v>
      </c>
      <c r="S3" s="4">
        <v>3</v>
      </c>
      <c r="T3" s="4">
        <v>0</v>
      </c>
      <c r="U3" s="4">
        <v>220</v>
      </c>
      <c r="V3" s="4">
        <v>3</v>
      </c>
      <c r="W3" s="4">
        <v>732</v>
      </c>
      <c r="X3" s="6">
        <v>1096</v>
      </c>
    </row>
    <row r="4" spans="1:24" x14ac:dyDescent="0.3">
      <c r="A4" s="1" t="s">
        <v>37</v>
      </c>
      <c r="B4" s="2" t="s">
        <v>38</v>
      </c>
      <c r="C4" s="2" t="s">
        <v>24</v>
      </c>
      <c r="D4" s="7">
        <v>43628</v>
      </c>
      <c r="E4" s="7" t="str">
        <f t="shared" si="0"/>
        <v>2019</v>
      </c>
      <c r="F4" s="18" t="s">
        <v>124</v>
      </c>
      <c r="G4" s="2" t="s">
        <v>39</v>
      </c>
      <c r="H4" s="2">
        <v>90036</v>
      </c>
      <c r="I4" s="2" t="s">
        <v>40</v>
      </c>
      <c r="J4" s="2" t="s">
        <v>41</v>
      </c>
      <c r="K4" s="2" t="s">
        <v>42</v>
      </c>
      <c r="L4" s="2" t="s">
        <v>43</v>
      </c>
      <c r="M4" s="7">
        <v>43632</v>
      </c>
      <c r="N4" s="2" t="s">
        <v>30</v>
      </c>
      <c r="O4" s="2" t="s">
        <v>44</v>
      </c>
      <c r="P4" s="2" t="s">
        <v>45</v>
      </c>
      <c r="Q4" s="2" t="s">
        <v>46</v>
      </c>
      <c r="R4" s="2">
        <v>4</v>
      </c>
      <c r="S4" s="2">
        <v>3</v>
      </c>
      <c r="T4" s="2">
        <v>0</v>
      </c>
      <c r="U4" s="2">
        <v>7</v>
      </c>
      <c r="V4" s="2">
        <v>2</v>
      </c>
      <c r="W4" s="2">
        <v>15</v>
      </c>
      <c r="X4" s="5">
        <v>22</v>
      </c>
    </row>
    <row r="5" spans="1:24" x14ac:dyDescent="0.3">
      <c r="A5" s="3" t="s">
        <v>22</v>
      </c>
      <c r="B5" s="4" t="s">
        <v>47</v>
      </c>
      <c r="C5" s="4" t="s">
        <v>24</v>
      </c>
      <c r="D5" s="8">
        <v>43384</v>
      </c>
      <c r="E5" s="8" t="str">
        <f t="shared" si="0"/>
        <v>2018</v>
      </c>
      <c r="F5" s="18" t="s">
        <v>125</v>
      </c>
      <c r="G5" s="4" t="s">
        <v>48</v>
      </c>
      <c r="H5" s="4">
        <v>33311</v>
      </c>
      <c r="I5" s="4" t="s">
        <v>49</v>
      </c>
      <c r="J5" s="4" t="s">
        <v>50</v>
      </c>
      <c r="K5" s="4" t="s">
        <v>28</v>
      </c>
      <c r="L5" s="4" t="s">
        <v>29</v>
      </c>
      <c r="M5" s="8">
        <v>43391</v>
      </c>
      <c r="N5" s="4" t="s">
        <v>51</v>
      </c>
      <c r="O5" s="4" t="s">
        <v>44</v>
      </c>
      <c r="P5" s="4" t="s">
        <v>52</v>
      </c>
      <c r="Q5" s="4" t="s">
        <v>53</v>
      </c>
      <c r="R5" s="4">
        <v>7</v>
      </c>
      <c r="S5" s="4">
        <v>6</v>
      </c>
      <c r="T5" s="4">
        <v>45</v>
      </c>
      <c r="U5" s="4">
        <v>383</v>
      </c>
      <c r="V5" s="4">
        <v>5</v>
      </c>
      <c r="W5" s="4">
        <v>958</v>
      </c>
      <c r="X5" s="6">
        <v>1434</v>
      </c>
    </row>
    <row r="6" spans="1:24" x14ac:dyDescent="0.3">
      <c r="A6" s="1" t="s">
        <v>37</v>
      </c>
      <c r="B6" s="2" t="s">
        <v>47</v>
      </c>
      <c r="C6" s="2" t="s">
        <v>24</v>
      </c>
      <c r="D6" s="7">
        <v>43384</v>
      </c>
      <c r="E6" s="7" t="str">
        <f t="shared" si="0"/>
        <v>2018</v>
      </c>
      <c r="F6" s="18" t="s">
        <v>125</v>
      </c>
      <c r="G6" s="2" t="s">
        <v>48</v>
      </c>
      <c r="H6" s="2">
        <v>33311</v>
      </c>
      <c r="I6" s="2" t="s">
        <v>54</v>
      </c>
      <c r="J6" s="2" t="s">
        <v>55</v>
      </c>
      <c r="K6" s="2" t="s">
        <v>28</v>
      </c>
      <c r="L6" s="2" t="s">
        <v>29</v>
      </c>
      <c r="M6" s="7">
        <v>43391</v>
      </c>
      <c r="N6" s="2" t="s">
        <v>51</v>
      </c>
      <c r="O6" s="2" t="s">
        <v>44</v>
      </c>
      <c r="P6" s="2" t="s">
        <v>52</v>
      </c>
      <c r="Q6" s="2" t="s">
        <v>56</v>
      </c>
      <c r="R6" s="2">
        <v>7</v>
      </c>
      <c r="S6" s="2">
        <v>6</v>
      </c>
      <c r="T6" s="2">
        <v>20</v>
      </c>
      <c r="U6" s="2">
        <v>3</v>
      </c>
      <c r="V6" s="2">
        <v>2</v>
      </c>
      <c r="W6" s="2">
        <v>22</v>
      </c>
      <c r="X6" s="5">
        <v>33</v>
      </c>
    </row>
    <row r="7" spans="1:24" x14ac:dyDescent="0.3">
      <c r="A7" s="3" t="s">
        <v>22</v>
      </c>
      <c r="B7" s="4" t="s">
        <v>38</v>
      </c>
      <c r="C7" s="4" t="s">
        <v>24</v>
      </c>
      <c r="D7" s="8">
        <v>42895</v>
      </c>
      <c r="E7" s="8" t="str">
        <f t="shared" si="0"/>
        <v>2017</v>
      </c>
      <c r="F7" s="18" t="s">
        <v>124</v>
      </c>
      <c r="G7" s="4" t="s">
        <v>57</v>
      </c>
      <c r="H7" s="4">
        <v>90032</v>
      </c>
      <c r="I7" s="4" t="s">
        <v>58</v>
      </c>
      <c r="J7" s="4" t="s">
        <v>59</v>
      </c>
      <c r="K7" s="4" t="s">
        <v>42</v>
      </c>
      <c r="L7" s="4" t="s">
        <v>29</v>
      </c>
      <c r="M7" s="8">
        <v>42900</v>
      </c>
      <c r="N7" s="4" t="s">
        <v>51</v>
      </c>
      <c r="O7" s="4" t="s">
        <v>60</v>
      </c>
      <c r="P7" s="4" t="s">
        <v>45</v>
      </c>
      <c r="Q7" s="4" t="s">
        <v>61</v>
      </c>
      <c r="R7" s="4">
        <v>5</v>
      </c>
      <c r="S7" s="4">
        <v>6</v>
      </c>
      <c r="T7" s="4">
        <v>0</v>
      </c>
      <c r="U7" s="4">
        <v>14</v>
      </c>
      <c r="V7" s="4">
        <v>7</v>
      </c>
      <c r="W7" s="4">
        <v>49</v>
      </c>
      <c r="X7" s="6">
        <v>73</v>
      </c>
    </row>
    <row r="8" spans="1:24" x14ac:dyDescent="0.3">
      <c r="A8" s="1" t="s">
        <v>37</v>
      </c>
      <c r="B8" s="2" t="s">
        <v>38</v>
      </c>
      <c r="C8" s="2" t="s">
        <v>24</v>
      </c>
      <c r="D8" s="7">
        <v>42895</v>
      </c>
      <c r="E8" s="7" t="str">
        <f t="shared" si="0"/>
        <v>2017</v>
      </c>
      <c r="F8" s="18" t="s">
        <v>124</v>
      </c>
      <c r="G8" s="2" t="s">
        <v>57</v>
      </c>
      <c r="H8" s="2">
        <v>90032</v>
      </c>
      <c r="I8" s="2" t="s">
        <v>62</v>
      </c>
      <c r="J8" s="2" t="s">
        <v>63</v>
      </c>
      <c r="K8" s="2" t="s">
        <v>42</v>
      </c>
      <c r="L8" s="2" t="s">
        <v>29</v>
      </c>
      <c r="M8" s="7">
        <v>42900</v>
      </c>
      <c r="N8" s="2" t="s">
        <v>51</v>
      </c>
      <c r="O8" s="2" t="s">
        <v>60</v>
      </c>
      <c r="P8" s="2" t="s">
        <v>45</v>
      </c>
      <c r="Q8" s="2" t="s">
        <v>64</v>
      </c>
      <c r="R8" s="2">
        <v>5</v>
      </c>
      <c r="S8" s="2">
        <v>6</v>
      </c>
      <c r="T8" s="2">
        <v>0</v>
      </c>
      <c r="U8" s="2">
        <v>2</v>
      </c>
      <c r="V8" s="2">
        <v>4</v>
      </c>
      <c r="W8" s="2">
        <v>7</v>
      </c>
      <c r="X8" s="5">
        <v>11</v>
      </c>
    </row>
    <row r="9" spans="1:24" x14ac:dyDescent="0.3">
      <c r="A9" s="3" t="s">
        <v>65</v>
      </c>
      <c r="B9" s="4" t="s">
        <v>38</v>
      </c>
      <c r="C9" s="4" t="s">
        <v>24</v>
      </c>
      <c r="D9" s="8">
        <v>42895</v>
      </c>
      <c r="E9" s="8" t="str">
        <f t="shared" si="0"/>
        <v>2017</v>
      </c>
      <c r="F9" s="18" t="s">
        <v>124</v>
      </c>
      <c r="G9" s="4" t="s">
        <v>57</v>
      </c>
      <c r="H9" s="4">
        <v>90032</v>
      </c>
      <c r="I9" s="4" t="s">
        <v>66</v>
      </c>
      <c r="J9" s="4" t="s">
        <v>67</v>
      </c>
      <c r="K9" s="4" t="s">
        <v>42</v>
      </c>
      <c r="L9" s="4" t="s">
        <v>29</v>
      </c>
      <c r="M9" s="8">
        <v>42900</v>
      </c>
      <c r="N9" s="4" t="s">
        <v>51</v>
      </c>
      <c r="O9" s="4" t="s">
        <v>60</v>
      </c>
      <c r="P9" s="4" t="s">
        <v>45</v>
      </c>
      <c r="Q9" s="4" t="s">
        <v>68</v>
      </c>
      <c r="R9" s="4">
        <v>5</v>
      </c>
      <c r="S9" s="4">
        <v>6</v>
      </c>
      <c r="T9" s="4">
        <v>20</v>
      </c>
      <c r="U9" s="4">
        <v>91</v>
      </c>
      <c r="V9" s="4">
        <v>6</v>
      </c>
      <c r="W9" s="4">
        <v>907</v>
      </c>
      <c r="X9" s="6">
        <v>1359</v>
      </c>
    </row>
    <row r="10" spans="1:24" x14ac:dyDescent="0.3">
      <c r="A10" s="1" t="s">
        <v>37</v>
      </c>
      <c r="B10" s="2" t="s">
        <v>38</v>
      </c>
      <c r="C10" s="2" t="s">
        <v>24</v>
      </c>
      <c r="D10" s="7">
        <v>42895</v>
      </c>
      <c r="E10" s="7" t="str">
        <f t="shared" si="0"/>
        <v>2017</v>
      </c>
      <c r="F10" s="18" t="s">
        <v>124</v>
      </c>
      <c r="G10" s="2" t="s">
        <v>57</v>
      </c>
      <c r="H10" s="2">
        <v>90032</v>
      </c>
      <c r="I10" s="2" t="s">
        <v>69</v>
      </c>
      <c r="J10" s="2" t="s">
        <v>70</v>
      </c>
      <c r="K10" s="2" t="s">
        <v>42</v>
      </c>
      <c r="L10" s="2" t="s">
        <v>29</v>
      </c>
      <c r="M10" s="7">
        <v>42900</v>
      </c>
      <c r="N10" s="2" t="s">
        <v>51</v>
      </c>
      <c r="O10" s="2" t="s">
        <v>60</v>
      </c>
      <c r="P10" s="2" t="s">
        <v>45</v>
      </c>
      <c r="Q10" s="2" t="s">
        <v>71</v>
      </c>
      <c r="R10" s="2">
        <v>5</v>
      </c>
      <c r="S10" s="2">
        <v>6</v>
      </c>
      <c r="T10" s="2">
        <v>20</v>
      </c>
      <c r="U10" s="2">
        <v>6</v>
      </c>
      <c r="V10" s="2">
        <v>3</v>
      </c>
      <c r="W10" s="2">
        <v>19</v>
      </c>
      <c r="X10" s="5">
        <v>28</v>
      </c>
    </row>
    <row r="11" spans="1:24" x14ac:dyDescent="0.3">
      <c r="A11" s="3" t="s">
        <v>37</v>
      </c>
      <c r="B11" s="4" t="s">
        <v>38</v>
      </c>
      <c r="C11" s="4" t="s">
        <v>24</v>
      </c>
      <c r="D11" s="8">
        <v>42895</v>
      </c>
      <c r="E11" s="8" t="str">
        <f t="shared" si="0"/>
        <v>2017</v>
      </c>
      <c r="F11" s="18" t="s">
        <v>124</v>
      </c>
      <c r="G11" s="4" t="s">
        <v>57</v>
      </c>
      <c r="H11" s="4">
        <v>90032</v>
      </c>
      <c r="I11" s="4" t="s">
        <v>72</v>
      </c>
      <c r="J11" s="4" t="s">
        <v>73</v>
      </c>
      <c r="K11" s="4" t="s">
        <v>42</v>
      </c>
      <c r="L11" s="4" t="s">
        <v>29</v>
      </c>
      <c r="M11" s="8">
        <v>42900</v>
      </c>
      <c r="N11" s="4" t="s">
        <v>51</v>
      </c>
      <c r="O11" s="4" t="s">
        <v>60</v>
      </c>
      <c r="P11" s="4" t="s">
        <v>45</v>
      </c>
      <c r="Q11" s="4" t="s">
        <v>74</v>
      </c>
      <c r="R11" s="4">
        <v>5</v>
      </c>
      <c r="S11" s="4">
        <v>6</v>
      </c>
      <c r="T11" s="4">
        <v>0</v>
      </c>
      <c r="U11" s="4">
        <v>34</v>
      </c>
      <c r="V11" s="4">
        <v>5</v>
      </c>
      <c r="W11" s="4">
        <v>115</v>
      </c>
      <c r="X11" s="6">
        <v>172</v>
      </c>
    </row>
    <row r="12" spans="1:24" x14ac:dyDescent="0.3">
      <c r="A12" s="1" t="s">
        <v>22</v>
      </c>
      <c r="B12" s="2" t="s">
        <v>38</v>
      </c>
      <c r="C12" s="2" t="s">
        <v>24</v>
      </c>
      <c r="D12" s="7">
        <v>42895</v>
      </c>
      <c r="E12" s="7" t="str">
        <f t="shared" si="0"/>
        <v>2017</v>
      </c>
      <c r="F12" s="18" t="s">
        <v>124</v>
      </c>
      <c r="G12" s="2" t="s">
        <v>57</v>
      </c>
      <c r="H12" s="2">
        <v>90032</v>
      </c>
      <c r="I12" s="2" t="s">
        <v>75</v>
      </c>
      <c r="J12" s="2" t="s">
        <v>76</v>
      </c>
      <c r="K12" s="2" t="s">
        <v>42</v>
      </c>
      <c r="L12" s="2" t="s">
        <v>29</v>
      </c>
      <c r="M12" s="7">
        <v>42900</v>
      </c>
      <c r="N12" s="2" t="s">
        <v>51</v>
      </c>
      <c r="O12" s="2" t="s">
        <v>60</v>
      </c>
      <c r="P12" s="2" t="s">
        <v>45</v>
      </c>
      <c r="Q12" s="2" t="s">
        <v>53</v>
      </c>
      <c r="R12" s="2">
        <v>5</v>
      </c>
      <c r="S12" s="2">
        <v>6</v>
      </c>
      <c r="T12" s="2">
        <v>20</v>
      </c>
      <c r="U12" s="2">
        <v>85</v>
      </c>
      <c r="V12" s="2">
        <v>9</v>
      </c>
      <c r="W12" s="2">
        <v>1706</v>
      </c>
      <c r="X12" s="5">
        <v>2555</v>
      </c>
    </row>
    <row r="13" spans="1:24" x14ac:dyDescent="0.3">
      <c r="A13" s="3" t="s">
        <v>65</v>
      </c>
      <c r="B13" s="4" t="s">
        <v>38</v>
      </c>
      <c r="C13" s="4" t="s">
        <v>24</v>
      </c>
      <c r="D13" s="8">
        <v>42895</v>
      </c>
      <c r="E13" s="8" t="str">
        <f t="shared" si="0"/>
        <v>2017</v>
      </c>
      <c r="F13" s="18" t="s">
        <v>124</v>
      </c>
      <c r="G13" s="4" t="s">
        <v>57</v>
      </c>
      <c r="H13" s="4">
        <v>90032</v>
      </c>
      <c r="I13" s="4" t="s">
        <v>77</v>
      </c>
      <c r="J13" s="4" t="s">
        <v>78</v>
      </c>
      <c r="K13" s="4" t="s">
        <v>42</v>
      </c>
      <c r="L13" s="4" t="s">
        <v>29</v>
      </c>
      <c r="M13" s="8">
        <v>42900</v>
      </c>
      <c r="N13" s="4" t="s">
        <v>51</v>
      </c>
      <c r="O13" s="4" t="s">
        <v>60</v>
      </c>
      <c r="P13" s="4" t="s">
        <v>45</v>
      </c>
      <c r="Q13" s="4" t="s">
        <v>68</v>
      </c>
      <c r="R13" s="4">
        <v>5</v>
      </c>
      <c r="S13" s="4">
        <v>6</v>
      </c>
      <c r="T13" s="4">
        <v>20</v>
      </c>
      <c r="U13" s="4">
        <v>68</v>
      </c>
      <c r="V13" s="4">
        <v>4</v>
      </c>
      <c r="W13" s="4">
        <v>911</v>
      </c>
      <c r="X13" s="6">
        <v>1365</v>
      </c>
    </row>
    <row r="14" spans="1:24" x14ac:dyDescent="0.3">
      <c r="A14" s="1" t="s">
        <v>37</v>
      </c>
      <c r="B14" s="2" t="s">
        <v>79</v>
      </c>
      <c r="C14" s="2" t="s">
        <v>24</v>
      </c>
      <c r="D14" s="7">
        <v>43936</v>
      </c>
      <c r="E14" s="7" t="str">
        <f t="shared" si="0"/>
        <v>2020</v>
      </c>
      <c r="F14" s="18" t="s">
        <v>126</v>
      </c>
      <c r="G14" s="2" t="s">
        <v>80</v>
      </c>
      <c r="H14" s="2">
        <v>28027</v>
      </c>
      <c r="I14" s="2" t="s">
        <v>81</v>
      </c>
      <c r="J14" s="2" t="s">
        <v>82</v>
      </c>
      <c r="K14" s="2" t="s">
        <v>28</v>
      </c>
      <c r="L14" s="2" t="s">
        <v>29</v>
      </c>
      <c r="M14" s="7">
        <v>43941</v>
      </c>
      <c r="N14" s="2" t="s">
        <v>51</v>
      </c>
      <c r="O14" s="2" t="s">
        <v>60</v>
      </c>
      <c r="P14" s="2" t="s">
        <v>83</v>
      </c>
      <c r="Q14" s="2" t="s">
        <v>84</v>
      </c>
      <c r="R14" s="2">
        <v>5</v>
      </c>
      <c r="S14" s="2">
        <v>6</v>
      </c>
      <c r="T14" s="2">
        <v>20</v>
      </c>
      <c r="U14" s="2">
        <v>5</v>
      </c>
      <c r="V14" s="2">
        <v>3</v>
      </c>
      <c r="W14" s="2">
        <v>16</v>
      </c>
      <c r="X14" s="5">
        <v>23</v>
      </c>
    </row>
    <row r="15" spans="1:24" x14ac:dyDescent="0.3">
      <c r="A15" s="3" t="s">
        <v>37</v>
      </c>
      <c r="B15" s="4" t="s">
        <v>85</v>
      </c>
      <c r="C15" s="4" t="s">
        <v>24</v>
      </c>
      <c r="D15" s="8">
        <v>43804</v>
      </c>
      <c r="E15" s="8" t="str">
        <f t="shared" si="0"/>
        <v>2019</v>
      </c>
      <c r="F15" s="18" t="s">
        <v>127</v>
      </c>
      <c r="G15" s="4" t="s">
        <v>86</v>
      </c>
      <c r="H15" s="4">
        <v>98103</v>
      </c>
      <c r="I15" s="4" t="s">
        <v>87</v>
      </c>
      <c r="J15" s="4" t="s">
        <v>88</v>
      </c>
      <c r="K15" s="4" t="s">
        <v>42</v>
      </c>
      <c r="L15" s="4" t="s">
        <v>29</v>
      </c>
      <c r="M15" s="8">
        <v>43809</v>
      </c>
      <c r="N15" s="4" t="s">
        <v>51</v>
      </c>
      <c r="O15" s="4" t="s">
        <v>60</v>
      </c>
      <c r="P15" s="4" t="s">
        <v>89</v>
      </c>
      <c r="Q15" s="4" t="s">
        <v>71</v>
      </c>
      <c r="R15" s="4">
        <v>5</v>
      </c>
      <c r="S15" s="4">
        <v>6</v>
      </c>
      <c r="T15" s="4">
        <v>20</v>
      </c>
      <c r="U15" s="4">
        <v>133</v>
      </c>
      <c r="V15" s="4">
        <v>3</v>
      </c>
      <c r="W15" s="4">
        <v>408</v>
      </c>
      <c r="X15" s="6">
        <v>611</v>
      </c>
    </row>
    <row r="16" spans="1:24" x14ac:dyDescent="0.3">
      <c r="A16" s="1" t="s">
        <v>37</v>
      </c>
      <c r="B16" s="2" t="s">
        <v>90</v>
      </c>
      <c r="C16" s="2" t="s">
        <v>24</v>
      </c>
      <c r="D16" s="7">
        <v>43426</v>
      </c>
      <c r="E16" s="7" t="str">
        <f t="shared" si="0"/>
        <v>2018</v>
      </c>
      <c r="F16" s="18" t="s">
        <v>123</v>
      </c>
      <c r="G16" s="2" t="s">
        <v>91</v>
      </c>
      <c r="H16" s="2">
        <v>76106</v>
      </c>
      <c r="I16" s="2" t="s">
        <v>92</v>
      </c>
      <c r="J16" s="2" t="s">
        <v>93</v>
      </c>
      <c r="K16" s="2" t="s">
        <v>94</v>
      </c>
      <c r="L16" s="2" t="s">
        <v>95</v>
      </c>
      <c r="M16" s="7">
        <v>43430</v>
      </c>
      <c r="N16" s="2" t="s">
        <v>51</v>
      </c>
      <c r="O16" s="2" t="s">
        <v>60</v>
      </c>
      <c r="P16" s="2" t="s">
        <v>96</v>
      </c>
      <c r="Q16" s="2" t="s">
        <v>74</v>
      </c>
      <c r="R16" s="2">
        <v>4</v>
      </c>
      <c r="S16" s="2">
        <v>6</v>
      </c>
      <c r="T16" s="2">
        <v>80</v>
      </c>
      <c r="U16" s="2">
        <v>124</v>
      </c>
      <c r="V16" s="2">
        <v>5</v>
      </c>
      <c r="W16" s="2">
        <v>69</v>
      </c>
      <c r="X16" s="5">
        <v>103</v>
      </c>
    </row>
    <row r="17" spans="1:24" x14ac:dyDescent="0.3">
      <c r="A17" s="3" t="s">
        <v>37</v>
      </c>
      <c r="B17" s="4" t="s">
        <v>90</v>
      </c>
      <c r="C17" s="4" t="s">
        <v>24</v>
      </c>
      <c r="D17" s="8">
        <v>43426</v>
      </c>
      <c r="E17" s="8" t="str">
        <f t="shared" si="0"/>
        <v>2018</v>
      </c>
      <c r="F17" s="18" t="s">
        <v>123</v>
      </c>
      <c r="G17" s="4" t="s">
        <v>91</v>
      </c>
      <c r="H17" s="4">
        <v>76106</v>
      </c>
      <c r="I17" s="4" t="s">
        <v>97</v>
      </c>
      <c r="J17" s="4" t="s">
        <v>98</v>
      </c>
      <c r="K17" s="4" t="s">
        <v>94</v>
      </c>
      <c r="L17" s="4" t="s">
        <v>95</v>
      </c>
      <c r="M17" s="8">
        <v>43430</v>
      </c>
      <c r="N17" s="4" t="s">
        <v>51</v>
      </c>
      <c r="O17" s="4" t="s">
        <v>60</v>
      </c>
      <c r="P17" s="4" t="s">
        <v>96</v>
      </c>
      <c r="Q17" s="4" t="s">
        <v>71</v>
      </c>
      <c r="R17" s="4">
        <v>4</v>
      </c>
      <c r="S17" s="4">
        <v>6</v>
      </c>
      <c r="T17" s="4">
        <v>80</v>
      </c>
      <c r="U17" s="4">
        <v>4</v>
      </c>
      <c r="V17" s="4">
        <v>3</v>
      </c>
      <c r="W17" s="4">
        <v>3</v>
      </c>
      <c r="X17" s="6">
        <v>4</v>
      </c>
    </row>
    <row r="18" spans="1:24" x14ac:dyDescent="0.3">
      <c r="A18" s="1" t="s">
        <v>37</v>
      </c>
      <c r="B18" s="2" t="s">
        <v>99</v>
      </c>
      <c r="C18" s="2" t="s">
        <v>24</v>
      </c>
      <c r="D18" s="7">
        <v>43050</v>
      </c>
      <c r="E18" s="7" t="str">
        <f t="shared" si="0"/>
        <v>2017</v>
      </c>
      <c r="F18" s="18" t="s">
        <v>123</v>
      </c>
      <c r="G18" s="2" t="s">
        <v>100</v>
      </c>
      <c r="H18" s="2">
        <v>53711</v>
      </c>
      <c r="I18" s="2" t="s">
        <v>101</v>
      </c>
      <c r="J18" s="2" t="s">
        <v>102</v>
      </c>
      <c r="K18" s="2" t="s">
        <v>94</v>
      </c>
      <c r="L18" s="2" t="s">
        <v>29</v>
      </c>
      <c r="M18" s="7">
        <v>43057</v>
      </c>
      <c r="N18" s="2" t="s">
        <v>51</v>
      </c>
      <c r="O18" s="2" t="s">
        <v>44</v>
      </c>
      <c r="P18" s="2" t="s">
        <v>103</v>
      </c>
      <c r="Q18" s="2" t="s">
        <v>56</v>
      </c>
      <c r="R18" s="2">
        <v>7</v>
      </c>
      <c r="S18" s="2">
        <v>6</v>
      </c>
      <c r="T18" s="2">
        <v>0</v>
      </c>
      <c r="U18" s="2">
        <v>13</v>
      </c>
      <c r="V18" s="2">
        <v>6</v>
      </c>
      <c r="W18" s="2">
        <v>666</v>
      </c>
      <c r="X18" s="5">
        <v>997</v>
      </c>
    </row>
    <row r="19" spans="1:24" x14ac:dyDescent="0.3">
      <c r="A19" s="3" t="s">
        <v>37</v>
      </c>
      <c r="B19" s="4" t="s">
        <v>104</v>
      </c>
      <c r="C19" s="4" t="s">
        <v>24</v>
      </c>
      <c r="D19" s="8">
        <v>42868</v>
      </c>
      <c r="E19" s="8" t="str">
        <f t="shared" si="0"/>
        <v>2017</v>
      </c>
      <c r="F19" s="18" t="s">
        <v>128</v>
      </c>
      <c r="G19" s="4" t="s">
        <v>105</v>
      </c>
      <c r="H19" s="4">
        <v>84084</v>
      </c>
      <c r="I19" s="4" t="s">
        <v>106</v>
      </c>
      <c r="J19" s="4" t="s">
        <v>107</v>
      </c>
      <c r="K19" s="4" t="s">
        <v>42</v>
      </c>
      <c r="L19" s="4" t="s">
        <v>29</v>
      </c>
      <c r="M19" s="8">
        <v>42870</v>
      </c>
      <c r="N19" s="4" t="s">
        <v>30</v>
      </c>
      <c r="O19" s="4" t="s">
        <v>60</v>
      </c>
      <c r="P19" s="4" t="s">
        <v>108</v>
      </c>
      <c r="Q19" s="4" t="s">
        <v>56</v>
      </c>
      <c r="R19" s="4">
        <v>2</v>
      </c>
      <c r="S19" s="4">
        <v>3</v>
      </c>
      <c r="T19" s="4">
        <v>0</v>
      </c>
      <c r="U19" s="4">
        <v>10</v>
      </c>
      <c r="V19" s="4">
        <v>2</v>
      </c>
      <c r="W19" s="4">
        <v>56</v>
      </c>
      <c r="X19" s="6">
        <v>83</v>
      </c>
    </row>
    <row r="20" spans="1:24" x14ac:dyDescent="0.3">
      <c r="A20" s="11" t="s">
        <v>37</v>
      </c>
      <c r="B20" s="12" t="s">
        <v>109</v>
      </c>
      <c r="C20" s="12" t="s">
        <v>24</v>
      </c>
      <c r="D20" s="13">
        <v>42974</v>
      </c>
      <c r="E20" s="13" t="str">
        <f t="shared" si="0"/>
        <v>2017</v>
      </c>
      <c r="F20" s="18" t="s">
        <v>129</v>
      </c>
      <c r="G20" s="12" t="s">
        <v>110</v>
      </c>
      <c r="H20" s="12">
        <v>94109</v>
      </c>
      <c r="I20" s="12" t="s">
        <v>111</v>
      </c>
      <c r="J20" s="12" t="s">
        <v>112</v>
      </c>
      <c r="K20" s="12" t="s">
        <v>42</v>
      </c>
      <c r="L20" s="12" t="s">
        <v>29</v>
      </c>
      <c r="M20" s="13">
        <v>42979</v>
      </c>
      <c r="N20" s="12" t="s">
        <v>30</v>
      </c>
      <c r="O20" s="12" t="s">
        <v>44</v>
      </c>
      <c r="P20" s="12" t="s">
        <v>45</v>
      </c>
      <c r="Q20" s="12" t="s">
        <v>64</v>
      </c>
      <c r="R20" s="12">
        <v>5</v>
      </c>
      <c r="S20" s="12">
        <v>3</v>
      </c>
      <c r="T20" s="12">
        <v>0</v>
      </c>
      <c r="U20" s="12">
        <v>2</v>
      </c>
      <c r="V20" s="12">
        <v>2</v>
      </c>
      <c r="W20" s="12">
        <v>9</v>
      </c>
      <c r="X20" s="14">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A952-0919-4C39-8EBD-A59677C588B6}">
  <sheetPr>
    <tabColor rgb="FF7030A0"/>
  </sheetPr>
  <dimension ref="A3:M13"/>
  <sheetViews>
    <sheetView workbookViewId="0">
      <selection activeCell="K13" sqref="K13"/>
    </sheetView>
  </sheetViews>
  <sheetFormatPr defaultRowHeight="14.4" x14ac:dyDescent="0.3"/>
  <cols>
    <col min="1" max="2" width="15.5546875" bestFit="1" customWidth="1"/>
    <col min="3" max="3" width="3.5546875" bestFit="1" customWidth="1"/>
    <col min="4" max="4" width="7.21875" bestFit="1" customWidth="1"/>
    <col min="5" max="5" width="9.77734375" bestFit="1" customWidth="1"/>
    <col min="6" max="6" width="6.109375" bestFit="1" customWidth="1"/>
    <col min="7" max="7" width="10.44140625" bestFit="1" customWidth="1"/>
    <col min="8" max="8" width="6.21875" bestFit="1" customWidth="1"/>
    <col min="9" max="9" width="5.88671875" bestFit="1" customWidth="1"/>
    <col min="10" max="10" width="7.21875" bestFit="1" customWidth="1"/>
    <col min="11" max="11" width="7.44140625" bestFit="1" customWidth="1"/>
    <col min="12" max="12" width="6.33203125" bestFit="1" customWidth="1"/>
    <col min="13" max="13" width="10.77734375" bestFit="1" customWidth="1"/>
    <col min="14" max="14" width="12.44140625" bestFit="1" customWidth="1"/>
    <col min="15" max="15" width="15.21875" bestFit="1" customWidth="1"/>
    <col min="16" max="16" width="9.44140625" bestFit="1" customWidth="1"/>
    <col min="17" max="17" width="10.88671875" bestFit="1" customWidth="1"/>
    <col min="18" max="18" width="9.5546875" bestFit="1" customWidth="1"/>
    <col min="19" max="19" width="10.5546875" bestFit="1" customWidth="1"/>
    <col min="20" max="20" width="9.5546875" bestFit="1" customWidth="1"/>
    <col min="21" max="21" width="11.88671875" bestFit="1" customWidth="1"/>
    <col min="22" max="22" width="9.5546875" bestFit="1" customWidth="1"/>
    <col min="23" max="23" width="12.109375" bestFit="1" customWidth="1"/>
    <col min="24" max="24" width="9.5546875" bestFit="1" customWidth="1"/>
    <col min="25" max="25" width="11" bestFit="1" customWidth="1"/>
    <col min="26" max="26" width="10.77734375" bestFit="1" customWidth="1"/>
  </cols>
  <sheetData>
    <row r="3" spans="1:13" x14ac:dyDescent="0.3">
      <c r="A3" s="15" t="s">
        <v>117</v>
      </c>
      <c r="B3" s="15" t="s">
        <v>118</v>
      </c>
    </row>
    <row r="4" spans="1:13" x14ac:dyDescent="0.3">
      <c r="A4" s="15" t="s">
        <v>115</v>
      </c>
      <c r="B4" t="s">
        <v>74</v>
      </c>
      <c r="C4" t="s">
        <v>64</v>
      </c>
      <c r="D4" t="s">
        <v>71</v>
      </c>
      <c r="E4" t="s">
        <v>33</v>
      </c>
      <c r="F4" t="s">
        <v>36</v>
      </c>
      <c r="G4" t="s">
        <v>61</v>
      </c>
      <c r="H4" t="s">
        <v>46</v>
      </c>
      <c r="I4" t="s">
        <v>84</v>
      </c>
      <c r="J4" t="s">
        <v>68</v>
      </c>
      <c r="K4" t="s">
        <v>56</v>
      </c>
      <c r="L4" t="s">
        <v>53</v>
      </c>
      <c r="M4" t="s">
        <v>116</v>
      </c>
    </row>
    <row r="5" spans="1:13" x14ac:dyDescent="0.3">
      <c r="A5" s="16" t="s">
        <v>22</v>
      </c>
      <c r="E5">
        <v>262</v>
      </c>
      <c r="F5">
        <v>732</v>
      </c>
      <c r="G5">
        <v>49</v>
      </c>
      <c r="L5">
        <v>2664</v>
      </c>
      <c r="M5">
        <v>3707</v>
      </c>
    </row>
    <row r="6" spans="1:13" x14ac:dyDescent="0.3">
      <c r="A6" s="17" t="s">
        <v>29</v>
      </c>
      <c r="E6">
        <v>262</v>
      </c>
      <c r="F6">
        <v>732</v>
      </c>
      <c r="G6">
        <v>49</v>
      </c>
      <c r="L6">
        <v>2664</v>
      </c>
      <c r="M6">
        <v>3707</v>
      </c>
    </row>
    <row r="7" spans="1:13" x14ac:dyDescent="0.3">
      <c r="A7" s="16" t="s">
        <v>37</v>
      </c>
      <c r="B7">
        <v>184</v>
      </c>
      <c r="C7">
        <v>16</v>
      </c>
      <c r="D7">
        <v>430</v>
      </c>
      <c r="H7">
        <v>15</v>
      </c>
      <c r="I7">
        <v>16</v>
      </c>
      <c r="K7">
        <v>744</v>
      </c>
      <c r="M7">
        <v>1405</v>
      </c>
    </row>
    <row r="8" spans="1:13" x14ac:dyDescent="0.3">
      <c r="A8" s="17" t="s">
        <v>29</v>
      </c>
      <c r="B8">
        <v>115</v>
      </c>
      <c r="C8">
        <v>16</v>
      </c>
      <c r="D8">
        <v>427</v>
      </c>
      <c r="I8">
        <v>16</v>
      </c>
      <c r="K8">
        <v>744</v>
      </c>
      <c r="M8">
        <v>1318</v>
      </c>
    </row>
    <row r="9" spans="1:13" x14ac:dyDescent="0.3">
      <c r="A9" s="17" t="s">
        <v>43</v>
      </c>
      <c r="H9">
        <v>15</v>
      </c>
      <c r="M9">
        <v>15</v>
      </c>
    </row>
    <row r="10" spans="1:13" x14ac:dyDescent="0.3">
      <c r="A10" s="17" t="s">
        <v>95</v>
      </c>
      <c r="B10">
        <v>69</v>
      </c>
      <c r="D10">
        <v>3</v>
      </c>
      <c r="M10">
        <v>72</v>
      </c>
    </row>
    <row r="11" spans="1:13" x14ac:dyDescent="0.3">
      <c r="A11" s="16" t="s">
        <v>65</v>
      </c>
      <c r="J11">
        <v>1818</v>
      </c>
      <c r="M11">
        <v>1818</v>
      </c>
    </row>
    <row r="12" spans="1:13" x14ac:dyDescent="0.3">
      <c r="A12" s="17" t="s">
        <v>29</v>
      </c>
      <c r="J12">
        <v>1818</v>
      </c>
      <c r="M12">
        <v>1818</v>
      </c>
    </row>
    <row r="13" spans="1:13" x14ac:dyDescent="0.3">
      <c r="A13" s="16" t="s">
        <v>116</v>
      </c>
      <c r="B13">
        <v>184</v>
      </c>
      <c r="C13">
        <v>16</v>
      </c>
      <c r="D13">
        <v>430</v>
      </c>
      <c r="E13">
        <v>262</v>
      </c>
      <c r="F13">
        <v>732</v>
      </c>
      <c r="G13">
        <v>49</v>
      </c>
      <c r="H13">
        <v>15</v>
      </c>
      <c r="I13">
        <v>16</v>
      </c>
      <c r="J13">
        <v>1818</v>
      </c>
      <c r="K13">
        <v>744</v>
      </c>
      <c r="L13">
        <v>2664</v>
      </c>
      <c r="M13">
        <v>6930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ABE3-F8F1-4F11-87B8-03E2F1105FEF}">
  <sheetPr>
    <tabColor rgb="FFFF0000"/>
  </sheetPr>
  <dimension ref="A3:E9"/>
  <sheetViews>
    <sheetView workbookViewId="0">
      <selection activeCell="D9" sqref="D9"/>
    </sheetView>
  </sheetViews>
  <sheetFormatPr defaultRowHeight="14.4" x14ac:dyDescent="0.3"/>
  <cols>
    <col min="1" max="1" width="15.33203125" bestFit="1" customWidth="1"/>
    <col min="2" max="2" width="15.5546875" bestFit="1" customWidth="1"/>
    <col min="3" max="3" width="6" bestFit="1" customWidth="1"/>
    <col min="4" max="4" width="5.21875" bestFit="1" customWidth="1"/>
    <col min="5" max="5" width="10.77734375" bestFit="1" customWidth="1"/>
    <col min="6" max="6" width="6" bestFit="1" customWidth="1"/>
    <col min="7" max="7" width="5.21875" bestFit="1" customWidth="1"/>
    <col min="8" max="8" width="16.44140625" bestFit="1" customWidth="1"/>
    <col min="9" max="9" width="24.109375" bestFit="1" customWidth="1"/>
  </cols>
  <sheetData>
    <row r="3" spans="1:5" x14ac:dyDescent="0.3">
      <c r="A3" s="15" t="s">
        <v>117</v>
      </c>
      <c r="B3" s="15" t="s">
        <v>118</v>
      </c>
    </row>
    <row r="4" spans="1:5" x14ac:dyDescent="0.3">
      <c r="A4" s="15" t="s">
        <v>115</v>
      </c>
      <c r="B4" t="s">
        <v>94</v>
      </c>
      <c r="C4" t="s">
        <v>28</v>
      </c>
      <c r="D4" t="s">
        <v>42</v>
      </c>
      <c r="E4" t="s">
        <v>116</v>
      </c>
    </row>
    <row r="5" spans="1:5" x14ac:dyDescent="0.3">
      <c r="A5" s="16" t="s">
        <v>24</v>
      </c>
      <c r="B5">
        <v>738</v>
      </c>
      <c r="C5">
        <v>1990</v>
      </c>
      <c r="D5">
        <v>4202</v>
      </c>
      <c r="E5">
        <v>6930</v>
      </c>
    </row>
    <row r="6" spans="1:5" x14ac:dyDescent="0.3">
      <c r="A6" s="17" t="s">
        <v>29</v>
      </c>
      <c r="B6">
        <v>666</v>
      </c>
      <c r="C6">
        <v>1990</v>
      </c>
      <c r="D6">
        <v>4187</v>
      </c>
      <c r="E6">
        <v>6843</v>
      </c>
    </row>
    <row r="7" spans="1:5" x14ac:dyDescent="0.3">
      <c r="A7" s="17" t="s">
        <v>43</v>
      </c>
      <c r="D7">
        <v>15</v>
      </c>
      <c r="E7">
        <v>15</v>
      </c>
    </row>
    <row r="8" spans="1:5" x14ac:dyDescent="0.3">
      <c r="A8" s="17" t="s">
        <v>95</v>
      </c>
      <c r="B8">
        <v>72</v>
      </c>
      <c r="E8">
        <v>72</v>
      </c>
    </row>
    <row r="9" spans="1:5" x14ac:dyDescent="0.3">
      <c r="A9" s="16" t="s">
        <v>116</v>
      </c>
      <c r="B9">
        <v>738</v>
      </c>
      <c r="C9">
        <v>1990</v>
      </c>
      <c r="D9">
        <v>4202</v>
      </c>
      <c r="E9">
        <v>6930</v>
      </c>
    </row>
  </sheetData>
  <conditionalFormatting pivot="1" sqref="D5">
    <cfRule type="cellIs" dxfId="30" priority="3" operator="equal">
      <formula>4202</formula>
    </cfRule>
  </conditionalFormatting>
  <conditionalFormatting pivot="1" sqref="D9">
    <cfRule type="cellIs" dxfId="29" priority="1" operator="between">
      <formula>4202</formula>
      <formula>4202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8FF6-6102-4EEF-A0F8-3C96050B633C}">
  <sheetPr>
    <tabColor rgb="FFFFFF00"/>
  </sheetPr>
  <dimension ref="A3:E9"/>
  <sheetViews>
    <sheetView workbookViewId="0">
      <selection activeCell="D6" sqref="D6"/>
    </sheetView>
  </sheetViews>
  <sheetFormatPr defaultRowHeight="14.4" x14ac:dyDescent="0.3"/>
  <cols>
    <col min="1" max="1" width="13.109375" bestFit="1" customWidth="1"/>
    <col min="2" max="2" width="15.5546875" bestFit="1" customWidth="1"/>
    <col min="3" max="3" width="12.21875" bestFit="1" customWidth="1"/>
    <col min="4" max="4" width="16.44140625" bestFit="1" customWidth="1"/>
    <col min="5" max="5" width="16.88671875" bestFit="1" customWidth="1"/>
    <col min="6" max="10" width="3" bestFit="1" customWidth="1"/>
    <col min="11" max="19" width="4" bestFit="1" customWidth="1"/>
    <col min="20" max="20" width="5" bestFit="1" customWidth="1"/>
    <col min="21" max="21" width="10.77734375" bestFit="1" customWidth="1"/>
  </cols>
  <sheetData>
    <row r="3" spans="1:5" x14ac:dyDescent="0.3">
      <c r="B3" s="15" t="s">
        <v>118</v>
      </c>
    </row>
    <row r="4" spans="1:5" x14ac:dyDescent="0.3">
      <c r="B4" t="s">
        <v>117</v>
      </c>
      <c r="C4" t="s">
        <v>120</v>
      </c>
      <c r="D4" t="s">
        <v>119</v>
      </c>
      <c r="E4" t="s">
        <v>121</v>
      </c>
    </row>
    <row r="5" spans="1:5" x14ac:dyDescent="0.3">
      <c r="A5" s="15" t="s">
        <v>115</v>
      </c>
      <c r="B5" t="s">
        <v>24</v>
      </c>
      <c r="C5" t="s">
        <v>24</v>
      </c>
    </row>
    <row r="6" spans="1:5" x14ac:dyDescent="0.3">
      <c r="A6" s="16" t="s">
        <v>22</v>
      </c>
      <c r="B6">
        <v>3707</v>
      </c>
      <c r="C6">
        <v>744</v>
      </c>
      <c r="D6">
        <v>3707</v>
      </c>
      <c r="E6">
        <v>744</v>
      </c>
    </row>
    <row r="7" spans="1:5" x14ac:dyDescent="0.3">
      <c r="A7" s="16" t="s">
        <v>37</v>
      </c>
      <c r="B7">
        <v>1405</v>
      </c>
      <c r="C7">
        <v>343</v>
      </c>
      <c r="D7">
        <v>1405</v>
      </c>
      <c r="E7">
        <v>343</v>
      </c>
    </row>
    <row r="8" spans="1:5" x14ac:dyDescent="0.3">
      <c r="A8" s="16" t="s">
        <v>65</v>
      </c>
      <c r="B8">
        <v>1818</v>
      </c>
      <c r="C8">
        <v>159</v>
      </c>
      <c r="D8">
        <v>1818</v>
      </c>
      <c r="E8">
        <v>159</v>
      </c>
    </row>
    <row r="9" spans="1:5" x14ac:dyDescent="0.3">
      <c r="A9" s="16" t="s">
        <v>116</v>
      </c>
      <c r="B9">
        <v>6930</v>
      </c>
      <c r="C9">
        <v>1246</v>
      </c>
      <c r="D9">
        <v>6930</v>
      </c>
      <c r="E9">
        <v>1246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2BA84-3AC6-44BC-B8D5-DCA374AFBC85}">
  <sheetPr>
    <tabColor rgb="FF002060"/>
  </sheetPr>
  <dimension ref="A1:X61"/>
  <sheetViews>
    <sheetView zoomScaleNormal="100" workbookViewId="0">
      <selection activeCell="H28" sqref="H28"/>
    </sheetView>
  </sheetViews>
  <sheetFormatPr defaultRowHeight="14.4" x14ac:dyDescent="0.3"/>
  <cols>
    <col min="1" max="1" width="13.109375" bestFit="1" customWidth="1"/>
    <col min="2" max="2" width="13.88671875" bestFit="1" customWidth="1"/>
    <col min="3" max="3" width="16.33203125" customWidth="1"/>
    <col min="4" max="4" width="12" customWidth="1"/>
    <col min="5" max="5" width="6.5546875" customWidth="1"/>
    <col min="6" max="6" width="8.6640625" customWidth="1"/>
    <col min="7" max="7" width="14.6640625" bestFit="1" customWidth="1"/>
    <col min="8" max="8" width="12.77734375" customWidth="1"/>
    <col min="9" max="9" width="16.21875" bestFit="1" customWidth="1"/>
    <col min="10" max="10" width="65.77734375" bestFit="1" customWidth="1"/>
    <col min="11" max="11" width="8.6640625" customWidth="1"/>
    <col min="12" max="12" width="11.33203125" bestFit="1" customWidth="1"/>
    <col min="13" max="13" width="10.88671875" customWidth="1"/>
    <col min="14" max="14" width="12.77734375" bestFit="1" customWidth="1"/>
    <col min="15" max="15" width="14.6640625" bestFit="1" customWidth="1"/>
    <col min="16" max="16" width="13.109375" bestFit="1" customWidth="1"/>
    <col min="17" max="17" width="14.33203125" customWidth="1"/>
    <col min="18" max="18" width="19" customWidth="1"/>
    <col min="19" max="19" width="22.44140625" customWidth="1"/>
    <col min="20" max="20" width="10.21875" customWidth="1"/>
    <col min="21" max="21" width="7.5546875" customWidth="1"/>
    <col min="22" max="22" width="10.21875" customWidth="1"/>
    <col min="23" max="23" width="7.109375" customWidth="1"/>
    <col min="24" max="24" width="14.5546875" customWidth="1"/>
  </cols>
  <sheetData>
    <row r="1" spans="1:24" x14ac:dyDescent="0.3">
      <c r="A1" s="9" t="s">
        <v>0</v>
      </c>
      <c r="B1" s="9" t="s">
        <v>1</v>
      </c>
      <c r="C1" s="9" t="s">
        <v>2</v>
      </c>
      <c r="D1" s="9" t="s">
        <v>3</v>
      </c>
      <c r="E1" s="9" t="s">
        <v>113</v>
      </c>
      <c r="F1" s="9" t="s">
        <v>114</v>
      </c>
      <c r="G1" s="9" t="s">
        <v>4</v>
      </c>
      <c r="H1" s="9" t="s">
        <v>5</v>
      </c>
      <c r="I1" s="9" t="s">
        <v>6</v>
      </c>
      <c r="J1" s="9" t="s">
        <v>7</v>
      </c>
      <c r="K1" s="9" t="s">
        <v>8</v>
      </c>
      <c r="L1" s="9" t="s">
        <v>9</v>
      </c>
      <c r="M1" s="9" t="s">
        <v>10</v>
      </c>
      <c r="N1" s="9" t="s">
        <v>11</v>
      </c>
      <c r="O1" s="9" t="s">
        <v>12</v>
      </c>
      <c r="P1" s="9" t="s">
        <v>13</v>
      </c>
      <c r="Q1" s="9" t="s">
        <v>14</v>
      </c>
      <c r="R1" s="9" t="s">
        <v>15</v>
      </c>
      <c r="S1" s="9" t="s">
        <v>16</v>
      </c>
      <c r="T1" s="10" t="s">
        <v>17</v>
      </c>
      <c r="U1" s="9" t="s">
        <v>18</v>
      </c>
      <c r="V1" s="9" t="s">
        <v>19</v>
      </c>
      <c r="W1" s="9" t="s">
        <v>20</v>
      </c>
      <c r="X1" s="9" t="s">
        <v>21</v>
      </c>
    </row>
    <row r="2" spans="1:24" x14ac:dyDescent="0.3">
      <c r="A2" s="1" t="s">
        <v>22</v>
      </c>
      <c r="B2" s="2" t="s">
        <v>23</v>
      </c>
      <c r="C2" s="2" t="s">
        <v>24</v>
      </c>
      <c r="D2" s="7">
        <v>43777</v>
      </c>
      <c r="E2" s="7" t="str">
        <f t="shared" ref="E2:E20" si="0">TEXT(D2,"YYYY")</f>
        <v>2019</v>
      </c>
      <c r="F2" s="19" t="s">
        <v>123</v>
      </c>
      <c r="G2" s="2" t="s">
        <v>25</v>
      </c>
      <c r="H2" s="2">
        <v>42420</v>
      </c>
      <c r="I2" s="2" t="s">
        <v>26</v>
      </c>
      <c r="J2" s="2" t="s">
        <v>27</v>
      </c>
      <c r="K2" s="2" t="s">
        <v>28</v>
      </c>
      <c r="L2" s="2" t="s">
        <v>29</v>
      </c>
      <c r="M2" s="7">
        <v>43780</v>
      </c>
      <c r="N2" s="2" t="s">
        <v>30</v>
      </c>
      <c r="O2" s="2" t="s">
        <v>31</v>
      </c>
      <c r="P2" s="2" t="s">
        <v>32</v>
      </c>
      <c r="Q2" s="2" t="s">
        <v>33</v>
      </c>
      <c r="R2" s="2">
        <v>3</v>
      </c>
      <c r="S2" s="2">
        <v>3</v>
      </c>
      <c r="T2" s="2">
        <v>0</v>
      </c>
      <c r="U2" s="2">
        <v>42</v>
      </c>
      <c r="V2" s="2">
        <v>2</v>
      </c>
      <c r="W2" s="2">
        <v>262</v>
      </c>
      <c r="X2" s="5">
        <v>392</v>
      </c>
    </row>
    <row r="3" spans="1:24" x14ac:dyDescent="0.3">
      <c r="A3" s="3" t="s">
        <v>22</v>
      </c>
      <c r="B3" s="4" t="s">
        <v>23</v>
      </c>
      <c r="C3" s="4" t="s">
        <v>24</v>
      </c>
      <c r="D3" s="8">
        <v>43777</v>
      </c>
      <c r="E3" s="8" t="str">
        <f t="shared" si="0"/>
        <v>2019</v>
      </c>
      <c r="F3" s="19" t="s">
        <v>123</v>
      </c>
      <c r="G3" s="4" t="s">
        <v>25</v>
      </c>
      <c r="H3" s="4">
        <v>42420</v>
      </c>
      <c r="I3" s="4" t="s">
        <v>34</v>
      </c>
      <c r="J3" s="4" t="s">
        <v>35</v>
      </c>
      <c r="K3" s="4" t="s">
        <v>28</v>
      </c>
      <c r="L3" s="4" t="s">
        <v>29</v>
      </c>
      <c r="M3" s="8">
        <v>43780</v>
      </c>
      <c r="N3" s="4" t="s">
        <v>30</v>
      </c>
      <c r="O3" s="4" t="s">
        <v>31</v>
      </c>
      <c r="P3" s="4" t="s">
        <v>32</v>
      </c>
      <c r="Q3" s="4" t="s">
        <v>36</v>
      </c>
      <c r="R3" s="4">
        <v>3</v>
      </c>
      <c r="S3" s="4">
        <v>3</v>
      </c>
      <c r="T3" s="4">
        <v>0</v>
      </c>
      <c r="U3" s="4">
        <v>220</v>
      </c>
      <c r="V3" s="4">
        <v>3</v>
      </c>
      <c r="W3" s="4">
        <v>732</v>
      </c>
      <c r="X3" s="6">
        <v>1096</v>
      </c>
    </row>
    <row r="4" spans="1:24" hidden="1" x14ac:dyDescent="0.3">
      <c r="A4" s="1" t="s">
        <v>37</v>
      </c>
      <c r="B4" s="2" t="s">
        <v>38</v>
      </c>
      <c r="C4" s="2" t="s">
        <v>24</v>
      </c>
      <c r="D4" s="7">
        <v>43628</v>
      </c>
      <c r="E4" s="7" t="str">
        <f t="shared" si="0"/>
        <v>2019</v>
      </c>
      <c r="F4" s="19" t="s">
        <v>124</v>
      </c>
      <c r="G4" s="2" t="s">
        <v>39</v>
      </c>
      <c r="H4" s="2">
        <v>90036</v>
      </c>
      <c r="I4" s="2" t="s">
        <v>40</v>
      </c>
      <c r="J4" s="2" t="s">
        <v>41</v>
      </c>
      <c r="K4" s="2" t="s">
        <v>42</v>
      </c>
      <c r="L4" s="2" t="s">
        <v>43</v>
      </c>
      <c r="M4" s="7">
        <v>43632</v>
      </c>
      <c r="N4" s="2" t="s">
        <v>30</v>
      </c>
      <c r="O4" s="2" t="s">
        <v>44</v>
      </c>
      <c r="P4" s="2" t="s">
        <v>45</v>
      </c>
      <c r="Q4" s="2" t="s">
        <v>46</v>
      </c>
      <c r="R4" s="2">
        <v>4</v>
      </c>
      <c r="S4" s="2">
        <v>3</v>
      </c>
      <c r="T4" s="2">
        <v>0</v>
      </c>
      <c r="U4" s="2">
        <v>7</v>
      </c>
      <c r="V4" s="2">
        <v>2</v>
      </c>
      <c r="W4" s="2">
        <v>15</v>
      </c>
      <c r="X4" s="5">
        <v>22</v>
      </c>
    </row>
    <row r="5" spans="1:24" x14ac:dyDescent="0.3">
      <c r="A5" s="3" t="s">
        <v>22</v>
      </c>
      <c r="B5" s="4" t="s">
        <v>47</v>
      </c>
      <c r="C5" s="4" t="s">
        <v>24</v>
      </c>
      <c r="D5" s="8">
        <v>43384</v>
      </c>
      <c r="E5" s="8" t="str">
        <f t="shared" si="0"/>
        <v>2018</v>
      </c>
      <c r="F5" s="19" t="s">
        <v>125</v>
      </c>
      <c r="G5" s="4" t="s">
        <v>48</v>
      </c>
      <c r="H5" s="4">
        <v>33311</v>
      </c>
      <c r="I5" s="4" t="s">
        <v>49</v>
      </c>
      <c r="J5" s="4" t="s">
        <v>50</v>
      </c>
      <c r="K5" s="4" t="s">
        <v>28</v>
      </c>
      <c r="L5" s="4" t="s">
        <v>29</v>
      </c>
      <c r="M5" s="8">
        <v>43391</v>
      </c>
      <c r="N5" s="4" t="s">
        <v>51</v>
      </c>
      <c r="O5" s="4" t="s">
        <v>44</v>
      </c>
      <c r="P5" s="4" t="s">
        <v>52</v>
      </c>
      <c r="Q5" s="4" t="s">
        <v>53</v>
      </c>
      <c r="R5" s="4">
        <v>7</v>
      </c>
      <c r="S5" s="4">
        <v>6</v>
      </c>
      <c r="T5" s="4">
        <v>45</v>
      </c>
      <c r="U5" s="4">
        <v>383</v>
      </c>
      <c r="V5" s="4">
        <v>5</v>
      </c>
      <c r="W5" s="4">
        <v>958</v>
      </c>
      <c r="X5" s="6">
        <v>1434</v>
      </c>
    </row>
    <row r="6" spans="1:24" hidden="1" x14ac:dyDescent="0.3">
      <c r="A6" s="1" t="s">
        <v>37</v>
      </c>
      <c r="B6" s="2" t="s">
        <v>47</v>
      </c>
      <c r="C6" s="2" t="s">
        <v>24</v>
      </c>
      <c r="D6" s="7">
        <v>43384</v>
      </c>
      <c r="E6" s="7" t="str">
        <f t="shared" si="0"/>
        <v>2018</v>
      </c>
      <c r="F6" s="19" t="s">
        <v>125</v>
      </c>
      <c r="G6" s="2" t="s">
        <v>48</v>
      </c>
      <c r="H6" s="2">
        <v>33311</v>
      </c>
      <c r="I6" s="2" t="s">
        <v>54</v>
      </c>
      <c r="J6" s="2" t="s">
        <v>55</v>
      </c>
      <c r="K6" s="2" t="s">
        <v>28</v>
      </c>
      <c r="L6" s="2" t="s">
        <v>29</v>
      </c>
      <c r="M6" s="7">
        <v>43391</v>
      </c>
      <c r="N6" s="2" t="s">
        <v>51</v>
      </c>
      <c r="O6" s="2" t="s">
        <v>44</v>
      </c>
      <c r="P6" s="2" t="s">
        <v>52</v>
      </c>
      <c r="Q6" s="2" t="s">
        <v>56</v>
      </c>
      <c r="R6" s="2">
        <v>7</v>
      </c>
      <c r="S6" s="2">
        <v>6</v>
      </c>
      <c r="T6" s="2">
        <v>20</v>
      </c>
      <c r="U6" s="2">
        <v>3</v>
      </c>
      <c r="V6" s="2">
        <v>2</v>
      </c>
      <c r="W6" s="2">
        <v>22</v>
      </c>
      <c r="X6" s="5">
        <v>33</v>
      </c>
    </row>
    <row r="7" spans="1:24" hidden="1" x14ac:dyDescent="0.3">
      <c r="A7" s="3" t="s">
        <v>22</v>
      </c>
      <c r="B7" s="4" t="s">
        <v>38</v>
      </c>
      <c r="C7" s="4" t="s">
        <v>24</v>
      </c>
      <c r="D7" s="8">
        <v>42895</v>
      </c>
      <c r="E7" s="8" t="str">
        <f t="shared" si="0"/>
        <v>2017</v>
      </c>
      <c r="F7" s="19" t="s">
        <v>124</v>
      </c>
      <c r="G7" s="4" t="s">
        <v>57</v>
      </c>
      <c r="H7" s="4">
        <v>90032</v>
      </c>
      <c r="I7" s="4" t="s">
        <v>58</v>
      </c>
      <c r="J7" s="4" t="s">
        <v>59</v>
      </c>
      <c r="K7" s="4" t="s">
        <v>42</v>
      </c>
      <c r="L7" s="4" t="s">
        <v>29</v>
      </c>
      <c r="M7" s="8">
        <v>42900</v>
      </c>
      <c r="N7" s="4" t="s">
        <v>51</v>
      </c>
      <c r="O7" s="4" t="s">
        <v>60</v>
      </c>
      <c r="P7" s="4" t="s">
        <v>45</v>
      </c>
      <c r="Q7" s="4" t="s">
        <v>61</v>
      </c>
      <c r="R7" s="4">
        <v>5</v>
      </c>
      <c r="S7" s="4">
        <v>6</v>
      </c>
      <c r="T7" s="4">
        <v>0</v>
      </c>
      <c r="U7" s="4">
        <v>14</v>
      </c>
      <c r="V7" s="4">
        <v>7</v>
      </c>
      <c r="W7" s="4">
        <v>49</v>
      </c>
      <c r="X7" s="6">
        <v>73</v>
      </c>
    </row>
    <row r="8" spans="1:24" hidden="1" x14ac:dyDescent="0.3">
      <c r="A8" s="1" t="s">
        <v>37</v>
      </c>
      <c r="B8" s="2" t="s">
        <v>38</v>
      </c>
      <c r="C8" s="2" t="s">
        <v>24</v>
      </c>
      <c r="D8" s="7">
        <v>42895</v>
      </c>
      <c r="E8" s="7" t="str">
        <f t="shared" si="0"/>
        <v>2017</v>
      </c>
      <c r="F8" s="19" t="s">
        <v>124</v>
      </c>
      <c r="G8" s="2" t="s">
        <v>57</v>
      </c>
      <c r="H8" s="2">
        <v>90032</v>
      </c>
      <c r="I8" s="2" t="s">
        <v>62</v>
      </c>
      <c r="J8" s="2" t="s">
        <v>63</v>
      </c>
      <c r="K8" s="2" t="s">
        <v>42</v>
      </c>
      <c r="L8" s="2" t="s">
        <v>29</v>
      </c>
      <c r="M8" s="7">
        <v>42900</v>
      </c>
      <c r="N8" s="2" t="s">
        <v>51</v>
      </c>
      <c r="O8" s="2" t="s">
        <v>60</v>
      </c>
      <c r="P8" s="2" t="s">
        <v>45</v>
      </c>
      <c r="Q8" s="2" t="s">
        <v>64</v>
      </c>
      <c r="R8" s="2">
        <v>5</v>
      </c>
      <c r="S8" s="2">
        <v>6</v>
      </c>
      <c r="T8" s="2">
        <v>0</v>
      </c>
      <c r="U8" s="2">
        <v>2</v>
      </c>
      <c r="V8" s="2">
        <v>4</v>
      </c>
      <c r="W8" s="2">
        <v>7</v>
      </c>
      <c r="X8" s="5">
        <v>11</v>
      </c>
    </row>
    <row r="9" spans="1:24" hidden="1" x14ac:dyDescent="0.3">
      <c r="A9" s="3" t="s">
        <v>65</v>
      </c>
      <c r="B9" s="4" t="s">
        <v>38</v>
      </c>
      <c r="C9" s="4" t="s">
        <v>24</v>
      </c>
      <c r="D9" s="8">
        <v>42895</v>
      </c>
      <c r="E9" s="8" t="str">
        <f t="shared" si="0"/>
        <v>2017</v>
      </c>
      <c r="F9" s="19" t="s">
        <v>124</v>
      </c>
      <c r="G9" s="4" t="s">
        <v>57</v>
      </c>
      <c r="H9" s="4">
        <v>90032</v>
      </c>
      <c r="I9" s="4" t="s">
        <v>66</v>
      </c>
      <c r="J9" s="4" t="s">
        <v>67</v>
      </c>
      <c r="K9" s="4" t="s">
        <v>42</v>
      </c>
      <c r="L9" s="4" t="s">
        <v>29</v>
      </c>
      <c r="M9" s="8">
        <v>42900</v>
      </c>
      <c r="N9" s="4" t="s">
        <v>51</v>
      </c>
      <c r="O9" s="4" t="s">
        <v>60</v>
      </c>
      <c r="P9" s="4" t="s">
        <v>45</v>
      </c>
      <c r="Q9" s="4" t="s">
        <v>68</v>
      </c>
      <c r="R9" s="4">
        <v>5</v>
      </c>
      <c r="S9" s="4">
        <v>6</v>
      </c>
      <c r="T9" s="4">
        <v>20</v>
      </c>
      <c r="U9" s="4">
        <v>91</v>
      </c>
      <c r="V9" s="4">
        <v>6</v>
      </c>
      <c r="W9" s="4">
        <v>907</v>
      </c>
      <c r="X9" s="6">
        <v>1359</v>
      </c>
    </row>
    <row r="10" spans="1:24" hidden="1" x14ac:dyDescent="0.3">
      <c r="A10" s="1" t="s">
        <v>37</v>
      </c>
      <c r="B10" s="2" t="s">
        <v>38</v>
      </c>
      <c r="C10" s="2" t="s">
        <v>24</v>
      </c>
      <c r="D10" s="7">
        <v>42895</v>
      </c>
      <c r="E10" s="7" t="str">
        <f t="shared" si="0"/>
        <v>2017</v>
      </c>
      <c r="F10" s="19" t="s">
        <v>124</v>
      </c>
      <c r="G10" s="2" t="s">
        <v>57</v>
      </c>
      <c r="H10" s="2">
        <v>90032</v>
      </c>
      <c r="I10" s="2" t="s">
        <v>69</v>
      </c>
      <c r="J10" s="2" t="s">
        <v>70</v>
      </c>
      <c r="K10" s="2" t="s">
        <v>42</v>
      </c>
      <c r="L10" s="2" t="s">
        <v>29</v>
      </c>
      <c r="M10" s="7">
        <v>42900</v>
      </c>
      <c r="N10" s="2" t="s">
        <v>51</v>
      </c>
      <c r="O10" s="2" t="s">
        <v>60</v>
      </c>
      <c r="P10" s="2" t="s">
        <v>45</v>
      </c>
      <c r="Q10" s="2" t="s">
        <v>71</v>
      </c>
      <c r="R10" s="2">
        <v>5</v>
      </c>
      <c r="S10" s="2">
        <v>6</v>
      </c>
      <c r="T10" s="2">
        <v>20</v>
      </c>
      <c r="U10" s="2">
        <v>6</v>
      </c>
      <c r="V10" s="2">
        <v>3</v>
      </c>
      <c r="W10" s="2">
        <v>19</v>
      </c>
      <c r="X10" s="5">
        <v>28</v>
      </c>
    </row>
    <row r="11" spans="1:24" hidden="1" x14ac:dyDescent="0.3">
      <c r="A11" s="3" t="s">
        <v>37</v>
      </c>
      <c r="B11" s="4" t="s">
        <v>38</v>
      </c>
      <c r="C11" s="4" t="s">
        <v>24</v>
      </c>
      <c r="D11" s="8">
        <v>42895</v>
      </c>
      <c r="E11" s="8" t="str">
        <f t="shared" si="0"/>
        <v>2017</v>
      </c>
      <c r="F11" s="19" t="s">
        <v>124</v>
      </c>
      <c r="G11" s="4" t="s">
        <v>57</v>
      </c>
      <c r="H11" s="4">
        <v>90032</v>
      </c>
      <c r="I11" s="4" t="s">
        <v>72</v>
      </c>
      <c r="J11" s="4" t="s">
        <v>73</v>
      </c>
      <c r="K11" s="4" t="s">
        <v>42</v>
      </c>
      <c r="L11" s="4" t="s">
        <v>29</v>
      </c>
      <c r="M11" s="8">
        <v>42900</v>
      </c>
      <c r="N11" s="4" t="s">
        <v>51</v>
      </c>
      <c r="O11" s="4" t="s">
        <v>60</v>
      </c>
      <c r="P11" s="4" t="s">
        <v>45</v>
      </c>
      <c r="Q11" s="4" t="s">
        <v>74</v>
      </c>
      <c r="R11" s="4">
        <v>5</v>
      </c>
      <c r="S11" s="4">
        <v>6</v>
      </c>
      <c r="T11" s="4">
        <v>0</v>
      </c>
      <c r="U11" s="4">
        <v>34</v>
      </c>
      <c r="V11" s="4">
        <v>5</v>
      </c>
      <c r="W11" s="4">
        <v>115</v>
      </c>
      <c r="X11" s="6">
        <v>172</v>
      </c>
    </row>
    <row r="12" spans="1:24" hidden="1" x14ac:dyDescent="0.3">
      <c r="A12" s="1" t="s">
        <v>22</v>
      </c>
      <c r="B12" s="2" t="s">
        <v>38</v>
      </c>
      <c r="C12" s="2" t="s">
        <v>24</v>
      </c>
      <c r="D12" s="7">
        <v>42895</v>
      </c>
      <c r="E12" s="7" t="str">
        <f t="shared" si="0"/>
        <v>2017</v>
      </c>
      <c r="F12" s="19" t="s">
        <v>124</v>
      </c>
      <c r="G12" s="2" t="s">
        <v>57</v>
      </c>
      <c r="H12" s="2">
        <v>90032</v>
      </c>
      <c r="I12" s="2" t="s">
        <v>75</v>
      </c>
      <c r="J12" s="2" t="s">
        <v>76</v>
      </c>
      <c r="K12" s="2" t="s">
        <v>42</v>
      </c>
      <c r="L12" s="2" t="s">
        <v>29</v>
      </c>
      <c r="M12" s="7">
        <v>42900</v>
      </c>
      <c r="N12" s="2" t="s">
        <v>51</v>
      </c>
      <c r="O12" s="2" t="s">
        <v>60</v>
      </c>
      <c r="P12" s="2" t="s">
        <v>45</v>
      </c>
      <c r="Q12" s="2" t="s">
        <v>53</v>
      </c>
      <c r="R12" s="2">
        <v>5</v>
      </c>
      <c r="S12" s="2">
        <v>6</v>
      </c>
      <c r="T12" s="2">
        <v>20</v>
      </c>
      <c r="U12" s="2">
        <v>85</v>
      </c>
      <c r="V12" s="2">
        <v>9</v>
      </c>
      <c r="W12" s="2">
        <v>1706</v>
      </c>
      <c r="X12" s="5">
        <v>2555</v>
      </c>
    </row>
    <row r="13" spans="1:24" hidden="1" x14ac:dyDescent="0.3">
      <c r="A13" s="3" t="s">
        <v>65</v>
      </c>
      <c r="B13" s="4" t="s">
        <v>38</v>
      </c>
      <c r="C13" s="4" t="s">
        <v>24</v>
      </c>
      <c r="D13" s="8">
        <v>42895</v>
      </c>
      <c r="E13" s="8" t="str">
        <f t="shared" si="0"/>
        <v>2017</v>
      </c>
      <c r="F13" s="19" t="s">
        <v>124</v>
      </c>
      <c r="G13" s="4" t="s">
        <v>57</v>
      </c>
      <c r="H13" s="4">
        <v>90032</v>
      </c>
      <c r="I13" s="4" t="s">
        <v>77</v>
      </c>
      <c r="J13" s="4" t="s">
        <v>78</v>
      </c>
      <c r="K13" s="4" t="s">
        <v>42</v>
      </c>
      <c r="L13" s="4" t="s">
        <v>29</v>
      </c>
      <c r="M13" s="8">
        <v>42900</v>
      </c>
      <c r="N13" s="4" t="s">
        <v>51</v>
      </c>
      <c r="O13" s="4" t="s">
        <v>60</v>
      </c>
      <c r="P13" s="4" t="s">
        <v>45</v>
      </c>
      <c r="Q13" s="4" t="s">
        <v>68</v>
      </c>
      <c r="R13" s="4">
        <v>5</v>
      </c>
      <c r="S13" s="4">
        <v>6</v>
      </c>
      <c r="T13" s="4">
        <v>20</v>
      </c>
      <c r="U13" s="4">
        <v>68</v>
      </c>
      <c r="V13" s="4">
        <v>4</v>
      </c>
      <c r="W13" s="4">
        <v>911</v>
      </c>
      <c r="X13" s="6">
        <v>1365</v>
      </c>
    </row>
    <row r="14" spans="1:24" hidden="1" x14ac:dyDescent="0.3">
      <c r="A14" s="1" t="s">
        <v>37</v>
      </c>
      <c r="B14" s="2" t="s">
        <v>79</v>
      </c>
      <c r="C14" s="2" t="s">
        <v>24</v>
      </c>
      <c r="D14" s="7">
        <v>43936</v>
      </c>
      <c r="E14" s="7" t="str">
        <f t="shared" si="0"/>
        <v>2020</v>
      </c>
      <c r="F14" s="19" t="s">
        <v>126</v>
      </c>
      <c r="G14" s="2" t="s">
        <v>80</v>
      </c>
      <c r="H14" s="2">
        <v>28027</v>
      </c>
      <c r="I14" s="2" t="s">
        <v>81</v>
      </c>
      <c r="J14" s="2" t="s">
        <v>82</v>
      </c>
      <c r="K14" s="2" t="s">
        <v>28</v>
      </c>
      <c r="L14" s="2" t="s">
        <v>29</v>
      </c>
      <c r="M14" s="7">
        <v>43941</v>
      </c>
      <c r="N14" s="2" t="s">
        <v>51</v>
      </c>
      <c r="O14" s="2" t="s">
        <v>60</v>
      </c>
      <c r="P14" s="2" t="s">
        <v>83</v>
      </c>
      <c r="Q14" s="2" t="s">
        <v>84</v>
      </c>
      <c r="R14" s="2">
        <v>5</v>
      </c>
      <c r="S14" s="2">
        <v>6</v>
      </c>
      <c r="T14" s="2">
        <v>20</v>
      </c>
      <c r="U14" s="2">
        <v>5</v>
      </c>
      <c r="V14" s="2">
        <v>3</v>
      </c>
      <c r="W14" s="2">
        <v>16</v>
      </c>
      <c r="X14" s="5">
        <v>23</v>
      </c>
    </row>
    <row r="15" spans="1:24" hidden="1" x14ac:dyDescent="0.3">
      <c r="A15" s="3" t="s">
        <v>37</v>
      </c>
      <c r="B15" s="4" t="s">
        <v>85</v>
      </c>
      <c r="C15" s="4" t="s">
        <v>24</v>
      </c>
      <c r="D15" s="8">
        <v>43804</v>
      </c>
      <c r="E15" s="8" t="str">
        <f t="shared" si="0"/>
        <v>2019</v>
      </c>
      <c r="F15" s="19" t="s">
        <v>127</v>
      </c>
      <c r="G15" s="4" t="s">
        <v>86</v>
      </c>
      <c r="H15" s="4">
        <v>98103</v>
      </c>
      <c r="I15" s="4" t="s">
        <v>87</v>
      </c>
      <c r="J15" s="4" t="s">
        <v>88</v>
      </c>
      <c r="K15" s="4" t="s">
        <v>42</v>
      </c>
      <c r="L15" s="4" t="s">
        <v>29</v>
      </c>
      <c r="M15" s="8">
        <v>43809</v>
      </c>
      <c r="N15" s="4" t="s">
        <v>51</v>
      </c>
      <c r="O15" s="4" t="s">
        <v>60</v>
      </c>
      <c r="P15" s="4" t="s">
        <v>89</v>
      </c>
      <c r="Q15" s="4" t="s">
        <v>71</v>
      </c>
      <c r="R15" s="4">
        <v>5</v>
      </c>
      <c r="S15" s="4">
        <v>6</v>
      </c>
      <c r="T15" s="4">
        <v>20</v>
      </c>
      <c r="U15" s="4">
        <v>133</v>
      </c>
      <c r="V15" s="4">
        <v>3</v>
      </c>
      <c r="W15" s="4">
        <v>408</v>
      </c>
      <c r="X15" s="6">
        <v>611</v>
      </c>
    </row>
    <row r="16" spans="1:24" hidden="1" x14ac:dyDescent="0.3">
      <c r="A16" s="1" t="s">
        <v>37</v>
      </c>
      <c r="B16" s="2" t="s">
        <v>90</v>
      </c>
      <c r="C16" s="2" t="s">
        <v>24</v>
      </c>
      <c r="D16" s="7">
        <v>43426</v>
      </c>
      <c r="E16" s="7" t="str">
        <f t="shared" si="0"/>
        <v>2018</v>
      </c>
      <c r="F16" s="19" t="s">
        <v>123</v>
      </c>
      <c r="G16" s="2" t="s">
        <v>91</v>
      </c>
      <c r="H16" s="2">
        <v>76106</v>
      </c>
      <c r="I16" s="2" t="s">
        <v>92</v>
      </c>
      <c r="J16" s="2" t="s">
        <v>93</v>
      </c>
      <c r="K16" s="2" t="s">
        <v>94</v>
      </c>
      <c r="L16" s="2" t="s">
        <v>95</v>
      </c>
      <c r="M16" s="7">
        <v>43430</v>
      </c>
      <c r="N16" s="2" t="s">
        <v>51</v>
      </c>
      <c r="O16" s="2" t="s">
        <v>60</v>
      </c>
      <c r="P16" s="2" t="s">
        <v>96</v>
      </c>
      <c r="Q16" s="2" t="s">
        <v>74</v>
      </c>
      <c r="R16" s="2">
        <v>4</v>
      </c>
      <c r="S16" s="2">
        <v>6</v>
      </c>
      <c r="T16" s="2">
        <v>80</v>
      </c>
      <c r="U16" s="2">
        <v>124</v>
      </c>
      <c r="V16" s="2">
        <v>5</v>
      </c>
      <c r="W16" s="2">
        <v>69</v>
      </c>
      <c r="X16" s="5">
        <v>103</v>
      </c>
    </row>
    <row r="17" spans="1:24" hidden="1" x14ac:dyDescent="0.3">
      <c r="A17" s="3" t="s">
        <v>37</v>
      </c>
      <c r="B17" s="4" t="s">
        <v>90</v>
      </c>
      <c r="C17" s="4" t="s">
        <v>24</v>
      </c>
      <c r="D17" s="8">
        <v>43426</v>
      </c>
      <c r="E17" s="8" t="str">
        <f t="shared" si="0"/>
        <v>2018</v>
      </c>
      <c r="F17" s="19" t="s">
        <v>123</v>
      </c>
      <c r="G17" s="4" t="s">
        <v>91</v>
      </c>
      <c r="H17" s="4">
        <v>76106</v>
      </c>
      <c r="I17" s="4" t="s">
        <v>97</v>
      </c>
      <c r="J17" s="4" t="s">
        <v>98</v>
      </c>
      <c r="K17" s="4" t="s">
        <v>94</v>
      </c>
      <c r="L17" s="4" t="s">
        <v>95</v>
      </c>
      <c r="M17" s="8">
        <v>43430</v>
      </c>
      <c r="N17" s="4" t="s">
        <v>51</v>
      </c>
      <c r="O17" s="4" t="s">
        <v>60</v>
      </c>
      <c r="P17" s="4" t="s">
        <v>96</v>
      </c>
      <c r="Q17" s="4" t="s">
        <v>71</v>
      </c>
      <c r="R17" s="4">
        <v>4</v>
      </c>
      <c r="S17" s="4">
        <v>6</v>
      </c>
      <c r="T17" s="4">
        <v>80</v>
      </c>
      <c r="U17" s="4">
        <v>4</v>
      </c>
      <c r="V17" s="4">
        <v>3</v>
      </c>
      <c r="W17" s="4">
        <v>3</v>
      </c>
      <c r="X17" s="6">
        <v>4</v>
      </c>
    </row>
    <row r="18" spans="1:24" hidden="1" x14ac:dyDescent="0.3">
      <c r="A18" s="1" t="s">
        <v>37</v>
      </c>
      <c r="B18" s="2" t="s">
        <v>99</v>
      </c>
      <c r="C18" s="2" t="s">
        <v>24</v>
      </c>
      <c r="D18" s="7">
        <v>43050</v>
      </c>
      <c r="E18" s="7" t="str">
        <f t="shared" si="0"/>
        <v>2017</v>
      </c>
      <c r="F18" s="19" t="s">
        <v>123</v>
      </c>
      <c r="G18" s="2" t="s">
        <v>100</v>
      </c>
      <c r="H18" s="2">
        <v>53711</v>
      </c>
      <c r="I18" s="2" t="s">
        <v>101</v>
      </c>
      <c r="J18" s="2" t="s">
        <v>102</v>
      </c>
      <c r="K18" s="2" t="s">
        <v>94</v>
      </c>
      <c r="L18" s="2" t="s">
        <v>29</v>
      </c>
      <c r="M18" s="7">
        <v>43057</v>
      </c>
      <c r="N18" s="2" t="s">
        <v>51</v>
      </c>
      <c r="O18" s="2" t="s">
        <v>44</v>
      </c>
      <c r="P18" s="2" t="s">
        <v>103</v>
      </c>
      <c r="Q18" s="2" t="s">
        <v>56</v>
      </c>
      <c r="R18" s="2">
        <v>7</v>
      </c>
      <c r="S18" s="2">
        <v>6</v>
      </c>
      <c r="T18" s="2">
        <v>0</v>
      </c>
      <c r="U18" s="2">
        <v>13</v>
      </c>
      <c r="V18" s="2">
        <v>6</v>
      </c>
      <c r="W18" s="2">
        <v>666</v>
      </c>
      <c r="X18" s="5">
        <v>997</v>
      </c>
    </row>
    <row r="19" spans="1:24" hidden="1" x14ac:dyDescent="0.3">
      <c r="A19" s="3" t="s">
        <v>37</v>
      </c>
      <c r="B19" s="4" t="s">
        <v>104</v>
      </c>
      <c r="C19" s="4" t="s">
        <v>24</v>
      </c>
      <c r="D19" s="8">
        <v>42868</v>
      </c>
      <c r="E19" s="8" t="str">
        <f t="shared" si="0"/>
        <v>2017</v>
      </c>
      <c r="F19" s="19" t="s">
        <v>128</v>
      </c>
      <c r="G19" s="4" t="s">
        <v>105</v>
      </c>
      <c r="H19" s="4">
        <v>84084</v>
      </c>
      <c r="I19" s="4" t="s">
        <v>106</v>
      </c>
      <c r="J19" s="4" t="s">
        <v>107</v>
      </c>
      <c r="K19" s="4" t="s">
        <v>42</v>
      </c>
      <c r="L19" s="4" t="s">
        <v>29</v>
      </c>
      <c r="M19" s="8">
        <v>42870</v>
      </c>
      <c r="N19" s="4" t="s">
        <v>30</v>
      </c>
      <c r="O19" s="4" t="s">
        <v>60</v>
      </c>
      <c r="P19" s="4" t="s">
        <v>108</v>
      </c>
      <c r="Q19" s="4" t="s">
        <v>56</v>
      </c>
      <c r="R19" s="4">
        <v>2</v>
      </c>
      <c r="S19" s="4">
        <v>3</v>
      </c>
      <c r="T19" s="4">
        <v>0</v>
      </c>
      <c r="U19" s="4">
        <v>10</v>
      </c>
      <c r="V19" s="4">
        <v>2</v>
      </c>
      <c r="W19" s="4">
        <v>56</v>
      </c>
      <c r="X19" s="6">
        <v>83</v>
      </c>
    </row>
    <row r="20" spans="1:24" hidden="1" x14ac:dyDescent="0.3">
      <c r="A20" s="11" t="s">
        <v>37</v>
      </c>
      <c r="B20" s="12" t="s">
        <v>109</v>
      </c>
      <c r="C20" s="12" t="s">
        <v>24</v>
      </c>
      <c r="D20" s="13">
        <v>42974</v>
      </c>
      <c r="E20" s="13" t="str">
        <f t="shared" si="0"/>
        <v>2017</v>
      </c>
      <c r="F20" s="19" t="s">
        <v>129</v>
      </c>
      <c r="G20" s="12" t="s">
        <v>110</v>
      </c>
      <c r="H20" s="12">
        <v>94109</v>
      </c>
      <c r="I20" s="12" t="s">
        <v>111</v>
      </c>
      <c r="J20" s="12" t="s">
        <v>112</v>
      </c>
      <c r="K20" s="12" t="s">
        <v>42</v>
      </c>
      <c r="L20" s="12" t="s">
        <v>29</v>
      </c>
      <c r="M20" s="13">
        <v>42979</v>
      </c>
      <c r="N20" s="12" t="s">
        <v>30</v>
      </c>
      <c r="O20" s="12" t="s">
        <v>44</v>
      </c>
      <c r="P20" s="12" t="s">
        <v>45</v>
      </c>
      <c r="Q20" s="12" t="s">
        <v>64</v>
      </c>
      <c r="R20" s="12">
        <v>5</v>
      </c>
      <c r="S20" s="12">
        <v>3</v>
      </c>
      <c r="T20" s="12">
        <v>0</v>
      </c>
      <c r="U20" s="12">
        <v>2</v>
      </c>
      <c r="V20" s="12">
        <v>2</v>
      </c>
      <c r="W20" s="12">
        <v>9</v>
      </c>
      <c r="X20" s="14">
        <v>13</v>
      </c>
    </row>
    <row r="61" spans="9:9" x14ac:dyDescent="0.3">
      <c r="I61" t="s">
        <v>122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6D5D-A6CE-4EC5-A812-945A75622ACF}">
  <sheetPr>
    <tabColor rgb="FFC00000"/>
  </sheetPr>
  <dimension ref="A1:B5"/>
  <sheetViews>
    <sheetView tabSelected="1" workbookViewId="0">
      <selection activeCell="D26" sqref="D26"/>
    </sheetView>
  </sheetViews>
  <sheetFormatPr defaultRowHeight="14.4" x14ac:dyDescent="0.3"/>
  <cols>
    <col min="1" max="1" width="15.5546875" bestFit="1" customWidth="1"/>
    <col min="2" max="2" width="11.6640625" bestFit="1" customWidth="1"/>
  </cols>
  <sheetData>
    <row r="1" spans="1:2" x14ac:dyDescent="0.3">
      <c r="A1" s="15" t="s">
        <v>115</v>
      </c>
      <c r="B1" t="s">
        <v>117</v>
      </c>
    </row>
    <row r="2" spans="1:2" x14ac:dyDescent="0.3">
      <c r="A2" s="16" t="s">
        <v>22</v>
      </c>
      <c r="B2">
        <v>3707</v>
      </c>
    </row>
    <row r="3" spans="1:2" x14ac:dyDescent="0.3">
      <c r="A3" s="16" t="s">
        <v>37</v>
      </c>
      <c r="B3">
        <v>1405</v>
      </c>
    </row>
    <row r="4" spans="1:2" x14ac:dyDescent="0.3">
      <c r="A4" s="16" t="s">
        <v>65</v>
      </c>
      <c r="B4">
        <v>1818</v>
      </c>
    </row>
    <row r="5" spans="1:2" x14ac:dyDescent="0.3">
      <c r="A5" s="16" t="s">
        <v>116</v>
      </c>
      <c r="B5">
        <v>6930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70B2A8-C705-4062-8DC0-7663FC3355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Data</vt:lpstr>
      <vt:lpstr>Report 1</vt:lpstr>
      <vt:lpstr>Report 2</vt:lpstr>
      <vt:lpstr>Report 3</vt:lpstr>
      <vt:lpstr>Report 4</vt:lpstr>
      <vt:lpstr>Report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Razia Bee</cp:lastModifiedBy>
  <dcterms:created xsi:type="dcterms:W3CDTF">2022-12-30T08:26:09Z</dcterms:created>
  <dcterms:modified xsi:type="dcterms:W3CDTF">2026-01-22T16:00:08Z</dcterms:modified>
</cp:coreProperties>
</file>